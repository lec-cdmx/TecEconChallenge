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marco_mendez_tec_mx/Documents/Documents/GitHub/TecEconChallenge/00_Convocatoria/"/>
    </mc:Choice>
  </mc:AlternateContent>
  <xr:revisionPtr revIDLastSave="5" documentId="11_CA374E1E7060586F83EC188193009F942F28551C" xr6:coauthVersionLast="47" xr6:coauthVersionMax="47" xr10:uidLastSave="{CE82EFCA-716D-4C51-91B5-197EF691935C}"/>
  <bookViews>
    <workbookView xWindow="-98" yWindow="-98" windowWidth="21795" windowHeight="12975" xr2:uid="{00000000-000D-0000-FFFF-FFFF00000000}"/>
  </bookViews>
  <sheets>
    <sheet name="Instrucciones" sheetId="1" r:id="rId1"/>
    <sheet name="Evaluación escrita" sheetId="2" r:id="rId2"/>
    <sheet name="Final presencial" sheetId="3" r:id="rId3"/>
    <sheet name="Consolidado escrita" sheetId="4" r:id="rId4"/>
    <sheet name="Consolidado final" sheetId="5" r:id="rId5"/>
    <sheet name="Descriptor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5" l="1"/>
  <c r="I65" i="5"/>
  <c r="H65" i="5"/>
  <c r="G65" i="5"/>
  <c r="F65" i="5"/>
  <c r="E65" i="5"/>
  <c r="D65" i="5"/>
  <c r="C65" i="5"/>
  <c r="B65" i="5"/>
  <c r="I64" i="5"/>
  <c r="H64" i="5"/>
  <c r="G64" i="5"/>
  <c r="F64" i="5"/>
  <c r="E64" i="5"/>
  <c r="D64" i="5"/>
  <c r="C64" i="5"/>
  <c r="J64" i="5" s="1"/>
  <c r="B64" i="5"/>
  <c r="I63" i="5"/>
  <c r="H63" i="5"/>
  <c r="G63" i="5"/>
  <c r="F63" i="5"/>
  <c r="E63" i="5"/>
  <c r="D63" i="5"/>
  <c r="C63" i="5"/>
  <c r="J63" i="5" s="1"/>
  <c r="B63" i="5"/>
  <c r="J62" i="5"/>
  <c r="I62" i="5"/>
  <c r="H62" i="5"/>
  <c r="G62" i="5"/>
  <c r="F62" i="5"/>
  <c r="E62" i="5"/>
  <c r="D62" i="5"/>
  <c r="C62" i="5"/>
  <c r="B62" i="5"/>
  <c r="J61" i="5"/>
  <c r="I61" i="5"/>
  <c r="H61" i="5"/>
  <c r="G61" i="5"/>
  <c r="F61" i="5"/>
  <c r="E61" i="5"/>
  <c r="D61" i="5"/>
  <c r="C61" i="5"/>
  <c r="B61" i="5"/>
  <c r="J60" i="5"/>
  <c r="I60" i="5"/>
  <c r="H60" i="5"/>
  <c r="G60" i="5"/>
  <c r="F60" i="5"/>
  <c r="E60" i="5"/>
  <c r="D60" i="5"/>
  <c r="C60" i="5"/>
  <c r="B60" i="5"/>
  <c r="J59" i="5"/>
  <c r="I59" i="5"/>
  <c r="H59" i="5"/>
  <c r="G59" i="5"/>
  <c r="F59" i="5"/>
  <c r="E59" i="5"/>
  <c r="D59" i="5"/>
  <c r="C59" i="5"/>
  <c r="B59" i="5"/>
  <c r="I58" i="5"/>
  <c r="H58" i="5"/>
  <c r="G58" i="5"/>
  <c r="F58" i="5"/>
  <c r="E58" i="5"/>
  <c r="D58" i="5"/>
  <c r="C58" i="5"/>
  <c r="J58" i="5" s="1"/>
  <c r="B58" i="5"/>
  <c r="J57" i="5"/>
  <c r="I57" i="5"/>
  <c r="H57" i="5"/>
  <c r="G57" i="5"/>
  <c r="F57" i="5"/>
  <c r="E57" i="5"/>
  <c r="D57" i="5"/>
  <c r="C57" i="5"/>
  <c r="B57" i="5"/>
  <c r="J56" i="5"/>
  <c r="I56" i="5"/>
  <c r="H56" i="5"/>
  <c r="G56" i="5"/>
  <c r="F56" i="5"/>
  <c r="E56" i="5"/>
  <c r="D56" i="5"/>
  <c r="C56" i="5"/>
  <c r="B56" i="5"/>
  <c r="I55" i="5"/>
  <c r="H55" i="5"/>
  <c r="G55" i="5"/>
  <c r="F55" i="5"/>
  <c r="E55" i="5"/>
  <c r="D55" i="5"/>
  <c r="C55" i="5"/>
  <c r="J55" i="5" s="1"/>
  <c r="B55" i="5"/>
  <c r="J54" i="5"/>
  <c r="I54" i="5"/>
  <c r="H54" i="5"/>
  <c r="G54" i="5"/>
  <c r="F54" i="5"/>
  <c r="E54" i="5"/>
  <c r="D54" i="5"/>
  <c r="C54" i="5"/>
  <c r="B54" i="5"/>
  <c r="I53" i="5"/>
  <c r="H53" i="5"/>
  <c r="G53" i="5"/>
  <c r="F53" i="5"/>
  <c r="E53" i="5"/>
  <c r="D53" i="5"/>
  <c r="C53" i="5"/>
  <c r="J53" i="5" s="1"/>
  <c r="B53" i="5"/>
  <c r="I52" i="5"/>
  <c r="H52" i="5"/>
  <c r="G52" i="5"/>
  <c r="F52" i="5"/>
  <c r="E52" i="5"/>
  <c r="D52" i="5"/>
  <c r="C52" i="5"/>
  <c r="J52" i="5" s="1"/>
  <c r="B52" i="5"/>
  <c r="I51" i="5"/>
  <c r="H51" i="5"/>
  <c r="G51" i="5"/>
  <c r="F51" i="5"/>
  <c r="E51" i="5"/>
  <c r="D51" i="5"/>
  <c r="C51" i="5"/>
  <c r="J51" i="5" s="1"/>
  <c r="B51" i="5"/>
  <c r="J50" i="5"/>
  <c r="I50" i="5"/>
  <c r="H50" i="5"/>
  <c r="G50" i="5"/>
  <c r="F50" i="5"/>
  <c r="E50" i="5"/>
  <c r="D50" i="5"/>
  <c r="C50" i="5"/>
  <c r="B50" i="5"/>
  <c r="J49" i="5"/>
  <c r="I49" i="5"/>
  <c r="H49" i="5"/>
  <c r="G49" i="5"/>
  <c r="F49" i="5"/>
  <c r="E49" i="5"/>
  <c r="D49" i="5"/>
  <c r="C49" i="5"/>
  <c r="B49" i="5"/>
  <c r="I48" i="5"/>
  <c r="H48" i="5"/>
  <c r="G48" i="5"/>
  <c r="F48" i="5"/>
  <c r="E48" i="5"/>
  <c r="D48" i="5"/>
  <c r="C48" i="5"/>
  <c r="J48" i="5" s="1"/>
  <c r="B48" i="5"/>
  <c r="I47" i="5"/>
  <c r="H47" i="5"/>
  <c r="G47" i="5"/>
  <c r="F47" i="5"/>
  <c r="E47" i="5"/>
  <c r="D47" i="5"/>
  <c r="C47" i="5"/>
  <c r="J47" i="5" s="1"/>
  <c r="B47" i="5"/>
  <c r="J46" i="5"/>
  <c r="I46" i="5"/>
  <c r="H46" i="5"/>
  <c r="G46" i="5"/>
  <c r="F46" i="5"/>
  <c r="E46" i="5"/>
  <c r="D46" i="5"/>
  <c r="C46" i="5"/>
  <c r="B46" i="5"/>
  <c r="J45" i="5"/>
  <c r="I45" i="5"/>
  <c r="H45" i="5"/>
  <c r="G45" i="5"/>
  <c r="F45" i="5"/>
  <c r="E45" i="5"/>
  <c r="D45" i="5"/>
  <c r="C45" i="5"/>
  <c r="B45" i="5"/>
  <c r="J44" i="5"/>
  <c r="I44" i="5"/>
  <c r="H44" i="5"/>
  <c r="G44" i="5"/>
  <c r="F44" i="5"/>
  <c r="E44" i="5"/>
  <c r="D44" i="5"/>
  <c r="C44" i="5"/>
  <c r="B44" i="5"/>
  <c r="J43" i="5"/>
  <c r="I43" i="5"/>
  <c r="H43" i="5"/>
  <c r="G43" i="5"/>
  <c r="F43" i="5"/>
  <c r="E43" i="5"/>
  <c r="D43" i="5"/>
  <c r="C43" i="5"/>
  <c r="B43" i="5"/>
  <c r="I42" i="5"/>
  <c r="H42" i="5"/>
  <c r="G42" i="5"/>
  <c r="F42" i="5"/>
  <c r="E42" i="5"/>
  <c r="D42" i="5"/>
  <c r="C42" i="5"/>
  <c r="J42" i="5" s="1"/>
  <c r="B42" i="5"/>
  <c r="I41" i="5"/>
  <c r="H41" i="5"/>
  <c r="G41" i="5"/>
  <c r="F41" i="5"/>
  <c r="E41" i="5"/>
  <c r="D41" i="5"/>
  <c r="C41" i="5"/>
  <c r="J41" i="5" s="1"/>
  <c r="B41" i="5"/>
  <c r="J40" i="5"/>
  <c r="I40" i="5"/>
  <c r="H40" i="5"/>
  <c r="G40" i="5"/>
  <c r="F40" i="5"/>
  <c r="E40" i="5"/>
  <c r="D40" i="5"/>
  <c r="C40" i="5"/>
  <c r="B40" i="5"/>
  <c r="J39" i="5"/>
  <c r="I39" i="5"/>
  <c r="H39" i="5"/>
  <c r="G39" i="5"/>
  <c r="F39" i="5"/>
  <c r="E39" i="5"/>
  <c r="D39" i="5"/>
  <c r="C39" i="5"/>
  <c r="B39" i="5"/>
  <c r="J38" i="5"/>
  <c r="I38" i="5"/>
  <c r="H38" i="5"/>
  <c r="G38" i="5"/>
  <c r="F38" i="5"/>
  <c r="E38" i="5"/>
  <c r="D38" i="5"/>
  <c r="C38" i="5"/>
  <c r="B38" i="5"/>
  <c r="J37" i="5"/>
  <c r="I37" i="5"/>
  <c r="H37" i="5"/>
  <c r="G37" i="5"/>
  <c r="F37" i="5"/>
  <c r="E37" i="5"/>
  <c r="D37" i="5"/>
  <c r="C37" i="5"/>
  <c r="B37" i="5"/>
  <c r="I36" i="5"/>
  <c r="H36" i="5"/>
  <c r="G36" i="5"/>
  <c r="F36" i="5"/>
  <c r="E36" i="5"/>
  <c r="D36" i="5"/>
  <c r="C36" i="5"/>
  <c r="J36" i="5" s="1"/>
  <c r="B36" i="5"/>
  <c r="J35" i="5"/>
  <c r="I35" i="5"/>
  <c r="H35" i="5"/>
  <c r="G35" i="5"/>
  <c r="F35" i="5"/>
  <c r="E35" i="5"/>
  <c r="D35" i="5"/>
  <c r="C35" i="5"/>
  <c r="B35" i="5"/>
  <c r="J34" i="5"/>
  <c r="I34" i="5"/>
  <c r="H34" i="5"/>
  <c r="G34" i="5"/>
  <c r="F34" i="5"/>
  <c r="E34" i="5"/>
  <c r="D34" i="5"/>
  <c r="C34" i="5"/>
  <c r="B34" i="5"/>
  <c r="I33" i="5"/>
  <c r="H33" i="5"/>
  <c r="G33" i="5"/>
  <c r="F33" i="5"/>
  <c r="E33" i="5"/>
  <c r="D33" i="5"/>
  <c r="C33" i="5"/>
  <c r="J33" i="5" s="1"/>
  <c r="B33" i="5"/>
  <c r="J32" i="5"/>
  <c r="I32" i="5"/>
  <c r="H32" i="5"/>
  <c r="G32" i="5"/>
  <c r="F32" i="5"/>
  <c r="E32" i="5"/>
  <c r="D32" i="5"/>
  <c r="C32" i="5"/>
  <c r="B32" i="5"/>
  <c r="I31" i="5"/>
  <c r="H31" i="5"/>
  <c r="G31" i="5"/>
  <c r="F31" i="5"/>
  <c r="E31" i="5"/>
  <c r="D31" i="5"/>
  <c r="C31" i="5"/>
  <c r="J31" i="5" s="1"/>
  <c r="B31" i="5"/>
  <c r="I30" i="5"/>
  <c r="H30" i="5"/>
  <c r="G30" i="5"/>
  <c r="F30" i="5"/>
  <c r="E30" i="5"/>
  <c r="D30" i="5"/>
  <c r="C30" i="5"/>
  <c r="J30" i="5" s="1"/>
  <c r="B30" i="5"/>
  <c r="I29" i="5"/>
  <c r="H29" i="5"/>
  <c r="G29" i="5"/>
  <c r="F29" i="5"/>
  <c r="E29" i="5"/>
  <c r="D29" i="5"/>
  <c r="C29" i="5"/>
  <c r="J29" i="5" s="1"/>
  <c r="B29" i="5"/>
  <c r="J28" i="5"/>
  <c r="I28" i="5"/>
  <c r="H28" i="5"/>
  <c r="G28" i="5"/>
  <c r="F28" i="5"/>
  <c r="E28" i="5"/>
  <c r="D28" i="5"/>
  <c r="C28" i="5"/>
  <c r="B28" i="5"/>
  <c r="J27" i="5"/>
  <c r="I27" i="5"/>
  <c r="H27" i="5"/>
  <c r="G27" i="5"/>
  <c r="F27" i="5"/>
  <c r="E27" i="5"/>
  <c r="D27" i="5"/>
  <c r="C27" i="5"/>
  <c r="B27" i="5"/>
  <c r="I26" i="5"/>
  <c r="H26" i="5"/>
  <c r="G26" i="5"/>
  <c r="F26" i="5"/>
  <c r="E26" i="5"/>
  <c r="D26" i="5"/>
  <c r="C26" i="5"/>
  <c r="J26" i="5" s="1"/>
  <c r="B26" i="5"/>
  <c r="I25" i="5"/>
  <c r="H25" i="5"/>
  <c r="G25" i="5"/>
  <c r="F25" i="5"/>
  <c r="E25" i="5"/>
  <c r="D25" i="5"/>
  <c r="C25" i="5"/>
  <c r="J25" i="5" s="1"/>
  <c r="B25" i="5"/>
  <c r="J24" i="5"/>
  <c r="I24" i="5"/>
  <c r="H24" i="5"/>
  <c r="G24" i="5"/>
  <c r="F24" i="5"/>
  <c r="E24" i="5"/>
  <c r="D24" i="5"/>
  <c r="C24" i="5"/>
  <c r="B24" i="5"/>
  <c r="J23" i="5"/>
  <c r="I23" i="5"/>
  <c r="H23" i="5"/>
  <c r="G23" i="5"/>
  <c r="F23" i="5"/>
  <c r="E23" i="5"/>
  <c r="D23" i="5"/>
  <c r="C23" i="5"/>
  <c r="B23" i="5"/>
  <c r="J22" i="5"/>
  <c r="I22" i="5"/>
  <c r="H22" i="5"/>
  <c r="G22" i="5"/>
  <c r="F22" i="5"/>
  <c r="E22" i="5"/>
  <c r="D22" i="5"/>
  <c r="C22" i="5"/>
  <c r="B22" i="5"/>
  <c r="J21" i="5"/>
  <c r="I21" i="5"/>
  <c r="H21" i="5"/>
  <c r="G21" i="5"/>
  <c r="F21" i="5"/>
  <c r="E21" i="5"/>
  <c r="D21" i="5"/>
  <c r="C21" i="5"/>
  <c r="B21" i="5"/>
  <c r="I20" i="5"/>
  <c r="H20" i="5"/>
  <c r="G20" i="5"/>
  <c r="F20" i="5"/>
  <c r="E20" i="5"/>
  <c r="D20" i="5"/>
  <c r="C20" i="5"/>
  <c r="J20" i="5" s="1"/>
  <c r="B20" i="5"/>
  <c r="I19" i="5"/>
  <c r="H19" i="5"/>
  <c r="G19" i="5"/>
  <c r="F19" i="5"/>
  <c r="E19" i="5"/>
  <c r="D19" i="5"/>
  <c r="C19" i="5"/>
  <c r="J19" i="5" s="1"/>
  <c r="B19" i="5"/>
  <c r="J18" i="5"/>
  <c r="I18" i="5"/>
  <c r="H18" i="5"/>
  <c r="G18" i="5"/>
  <c r="F18" i="5"/>
  <c r="E18" i="5"/>
  <c r="D18" i="5"/>
  <c r="C18" i="5"/>
  <c r="B18" i="5"/>
  <c r="J17" i="5"/>
  <c r="I17" i="5"/>
  <c r="H17" i="5"/>
  <c r="G17" i="5"/>
  <c r="F17" i="5"/>
  <c r="E17" i="5"/>
  <c r="D17" i="5"/>
  <c r="C17" i="5"/>
  <c r="B17" i="5"/>
  <c r="J16" i="5"/>
  <c r="I16" i="5"/>
  <c r="H16" i="5"/>
  <c r="G16" i="5"/>
  <c r="F16" i="5"/>
  <c r="E16" i="5"/>
  <c r="D16" i="5"/>
  <c r="C16" i="5"/>
  <c r="B16" i="5"/>
  <c r="J15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J14" i="5" s="1"/>
  <c r="B14" i="5"/>
  <c r="J13" i="5"/>
  <c r="I13" i="5"/>
  <c r="H13" i="5"/>
  <c r="G13" i="5"/>
  <c r="F13" i="5"/>
  <c r="E13" i="5"/>
  <c r="D13" i="5"/>
  <c r="C13" i="5"/>
  <c r="B13" i="5"/>
  <c r="J12" i="5"/>
  <c r="I12" i="5"/>
  <c r="H12" i="5"/>
  <c r="G12" i="5"/>
  <c r="F12" i="5"/>
  <c r="E12" i="5"/>
  <c r="D12" i="5"/>
  <c r="C12" i="5"/>
  <c r="B12" i="5"/>
  <c r="I11" i="5"/>
  <c r="H11" i="5"/>
  <c r="G11" i="5"/>
  <c r="F11" i="5"/>
  <c r="E11" i="5"/>
  <c r="D11" i="5"/>
  <c r="C11" i="5"/>
  <c r="J11" i="5" s="1"/>
  <c r="B11" i="5"/>
  <c r="J10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J9" i="5" s="1"/>
  <c r="B9" i="5"/>
  <c r="I8" i="5"/>
  <c r="H8" i="5"/>
  <c r="G8" i="5"/>
  <c r="F8" i="5"/>
  <c r="E8" i="5"/>
  <c r="D8" i="5"/>
  <c r="C8" i="5"/>
  <c r="J8" i="5" s="1"/>
  <c r="B8" i="5"/>
  <c r="I7" i="5"/>
  <c r="H7" i="5"/>
  <c r="G7" i="5"/>
  <c r="F7" i="5"/>
  <c r="E7" i="5"/>
  <c r="D7" i="5"/>
  <c r="C7" i="5"/>
  <c r="J7" i="5" s="1"/>
  <c r="B7" i="5"/>
  <c r="J6" i="5"/>
  <c r="I6" i="5"/>
  <c r="H6" i="5"/>
  <c r="G6" i="5"/>
  <c r="F6" i="5"/>
  <c r="E6" i="5"/>
  <c r="D6" i="5"/>
  <c r="C6" i="5"/>
  <c r="B6" i="5"/>
  <c r="J65" i="4"/>
  <c r="I65" i="4"/>
  <c r="H65" i="4"/>
  <c r="G65" i="4"/>
  <c r="F65" i="4"/>
  <c r="E65" i="4"/>
  <c r="D65" i="4"/>
  <c r="C65" i="4"/>
  <c r="B65" i="4"/>
  <c r="I64" i="4"/>
  <c r="H64" i="4"/>
  <c r="G64" i="4"/>
  <c r="F64" i="4"/>
  <c r="E64" i="4"/>
  <c r="D64" i="4"/>
  <c r="C64" i="4"/>
  <c r="J64" i="4" s="1"/>
  <c r="B64" i="4"/>
  <c r="I63" i="4"/>
  <c r="H63" i="4"/>
  <c r="G63" i="4"/>
  <c r="F63" i="4"/>
  <c r="E63" i="4"/>
  <c r="D63" i="4"/>
  <c r="C63" i="4"/>
  <c r="J63" i="4" s="1"/>
  <c r="B63" i="4"/>
  <c r="J62" i="4"/>
  <c r="I62" i="4"/>
  <c r="H62" i="4"/>
  <c r="G62" i="4"/>
  <c r="F62" i="4"/>
  <c r="E62" i="4"/>
  <c r="D62" i="4"/>
  <c r="C62" i="4"/>
  <c r="B62" i="4"/>
  <c r="J61" i="4"/>
  <c r="I61" i="4"/>
  <c r="H61" i="4"/>
  <c r="G61" i="4"/>
  <c r="F61" i="4"/>
  <c r="E61" i="4"/>
  <c r="D61" i="4"/>
  <c r="C61" i="4"/>
  <c r="B61" i="4"/>
  <c r="J60" i="4"/>
  <c r="I60" i="4"/>
  <c r="H60" i="4"/>
  <c r="G60" i="4"/>
  <c r="F60" i="4"/>
  <c r="E60" i="4"/>
  <c r="D60" i="4"/>
  <c r="C60" i="4"/>
  <c r="B60" i="4"/>
  <c r="J59" i="4"/>
  <c r="I59" i="4"/>
  <c r="H59" i="4"/>
  <c r="G59" i="4"/>
  <c r="F59" i="4"/>
  <c r="E59" i="4"/>
  <c r="D59" i="4"/>
  <c r="C59" i="4"/>
  <c r="B59" i="4"/>
  <c r="I58" i="4"/>
  <c r="H58" i="4"/>
  <c r="G58" i="4"/>
  <c r="F58" i="4"/>
  <c r="E58" i="4"/>
  <c r="D58" i="4"/>
  <c r="C58" i="4"/>
  <c r="J58" i="4" s="1"/>
  <c r="B58" i="4"/>
  <c r="I57" i="4"/>
  <c r="H57" i="4"/>
  <c r="G57" i="4"/>
  <c r="F57" i="4"/>
  <c r="E57" i="4"/>
  <c r="D57" i="4"/>
  <c r="C57" i="4"/>
  <c r="J57" i="4" s="1"/>
  <c r="B57" i="4"/>
  <c r="J56" i="4"/>
  <c r="I56" i="4"/>
  <c r="H56" i="4"/>
  <c r="G56" i="4"/>
  <c r="F56" i="4"/>
  <c r="E56" i="4"/>
  <c r="D56" i="4"/>
  <c r="C56" i="4"/>
  <c r="B56" i="4"/>
  <c r="J55" i="4"/>
  <c r="I55" i="4"/>
  <c r="H55" i="4"/>
  <c r="G55" i="4"/>
  <c r="F55" i="4"/>
  <c r="E55" i="4"/>
  <c r="D55" i="4"/>
  <c r="C55" i="4"/>
  <c r="B55" i="4"/>
  <c r="J54" i="4"/>
  <c r="I54" i="4"/>
  <c r="H54" i="4"/>
  <c r="G54" i="4"/>
  <c r="F54" i="4"/>
  <c r="E54" i="4"/>
  <c r="D54" i="4"/>
  <c r="C54" i="4"/>
  <c r="B54" i="4"/>
  <c r="J53" i="4"/>
  <c r="I53" i="4"/>
  <c r="H53" i="4"/>
  <c r="G53" i="4"/>
  <c r="F53" i="4"/>
  <c r="E53" i="4"/>
  <c r="D53" i="4"/>
  <c r="C53" i="4"/>
  <c r="B53" i="4"/>
  <c r="I52" i="4"/>
  <c r="H52" i="4"/>
  <c r="G52" i="4"/>
  <c r="F52" i="4"/>
  <c r="E52" i="4"/>
  <c r="D52" i="4"/>
  <c r="C52" i="4"/>
  <c r="J52" i="4" s="1"/>
  <c r="B52" i="4"/>
  <c r="J51" i="4"/>
  <c r="I51" i="4"/>
  <c r="H51" i="4"/>
  <c r="G51" i="4"/>
  <c r="F51" i="4"/>
  <c r="E51" i="4"/>
  <c r="D51" i="4"/>
  <c r="C51" i="4"/>
  <c r="B51" i="4"/>
  <c r="J50" i="4"/>
  <c r="I50" i="4"/>
  <c r="H50" i="4"/>
  <c r="G50" i="4"/>
  <c r="F50" i="4"/>
  <c r="E50" i="4"/>
  <c r="D50" i="4"/>
  <c r="C50" i="4"/>
  <c r="B50" i="4"/>
  <c r="I49" i="4"/>
  <c r="H49" i="4"/>
  <c r="G49" i="4"/>
  <c r="F49" i="4"/>
  <c r="E49" i="4"/>
  <c r="D49" i="4"/>
  <c r="C49" i="4"/>
  <c r="J49" i="4" s="1"/>
  <c r="B49" i="4"/>
  <c r="J48" i="4"/>
  <c r="I48" i="4"/>
  <c r="H48" i="4"/>
  <c r="G48" i="4"/>
  <c r="F48" i="4"/>
  <c r="E48" i="4"/>
  <c r="D48" i="4"/>
  <c r="C48" i="4"/>
  <c r="B48" i="4"/>
  <c r="I47" i="4"/>
  <c r="H47" i="4"/>
  <c r="G47" i="4"/>
  <c r="F47" i="4"/>
  <c r="E47" i="4"/>
  <c r="D47" i="4"/>
  <c r="C47" i="4"/>
  <c r="J47" i="4" s="1"/>
  <c r="B47" i="4"/>
  <c r="I46" i="4"/>
  <c r="H46" i="4"/>
  <c r="G46" i="4"/>
  <c r="F46" i="4"/>
  <c r="E46" i="4"/>
  <c r="D46" i="4"/>
  <c r="C46" i="4"/>
  <c r="J46" i="4" s="1"/>
  <c r="B46" i="4"/>
  <c r="I45" i="4"/>
  <c r="H45" i="4"/>
  <c r="G45" i="4"/>
  <c r="F45" i="4"/>
  <c r="E45" i="4"/>
  <c r="D45" i="4"/>
  <c r="C45" i="4"/>
  <c r="J45" i="4" s="1"/>
  <c r="B45" i="4"/>
  <c r="J44" i="4"/>
  <c r="I44" i="4"/>
  <c r="H44" i="4"/>
  <c r="G44" i="4"/>
  <c r="F44" i="4"/>
  <c r="E44" i="4"/>
  <c r="D44" i="4"/>
  <c r="C44" i="4"/>
  <c r="B44" i="4"/>
  <c r="J43" i="4"/>
  <c r="I43" i="4"/>
  <c r="H43" i="4"/>
  <c r="G43" i="4"/>
  <c r="F43" i="4"/>
  <c r="E43" i="4"/>
  <c r="D43" i="4"/>
  <c r="C43" i="4"/>
  <c r="B43" i="4"/>
  <c r="I42" i="4"/>
  <c r="H42" i="4"/>
  <c r="G42" i="4"/>
  <c r="F42" i="4"/>
  <c r="E42" i="4"/>
  <c r="D42" i="4"/>
  <c r="C42" i="4"/>
  <c r="J42" i="4" s="1"/>
  <c r="B42" i="4"/>
  <c r="I41" i="4"/>
  <c r="H41" i="4"/>
  <c r="G41" i="4"/>
  <c r="F41" i="4"/>
  <c r="E41" i="4"/>
  <c r="D41" i="4"/>
  <c r="C41" i="4"/>
  <c r="J41" i="4" s="1"/>
  <c r="B41" i="4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C39" i="4"/>
  <c r="B39" i="4"/>
  <c r="J38" i="4"/>
  <c r="I38" i="4"/>
  <c r="H38" i="4"/>
  <c r="G38" i="4"/>
  <c r="F38" i="4"/>
  <c r="E38" i="4"/>
  <c r="D38" i="4"/>
  <c r="C38" i="4"/>
  <c r="B38" i="4"/>
  <c r="J37" i="4"/>
  <c r="I37" i="4"/>
  <c r="H37" i="4"/>
  <c r="G37" i="4"/>
  <c r="F37" i="4"/>
  <c r="E37" i="4"/>
  <c r="D37" i="4"/>
  <c r="C37" i="4"/>
  <c r="B37" i="4"/>
  <c r="I36" i="4"/>
  <c r="H36" i="4"/>
  <c r="G36" i="4"/>
  <c r="F36" i="4"/>
  <c r="E36" i="4"/>
  <c r="D36" i="4"/>
  <c r="C36" i="4"/>
  <c r="J36" i="4" s="1"/>
  <c r="B36" i="4"/>
  <c r="I35" i="4"/>
  <c r="H35" i="4"/>
  <c r="G35" i="4"/>
  <c r="F35" i="4"/>
  <c r="E35" i="4"/>
  <c r="D35" i="4"/>
  <c r="C35" i="4"/>
  <c r="J35" i="4" s="1"/>
  <c r="B35" i="4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I30" i="4"/>
  <c r="H30" i="4"/>
  <c r="G30" i="4"/>
  <c r="F30" i="4"/>
  <c r="E30" i="4"/>
  <c r="D30" i="4"/>
  <c r="C30" i="4"/>
  <c r="J30" i="4" s="1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I27" i="4"/>
  <c r="H27" i="4"/>
  <c r="G27" i="4"/>
  <c r="F27" i="4"/>
  <c r="E27" i="4"/>
  <c r="D27" i="4"/>
  <c r="C27" i="4"/>
  <c r="J27" i="4" s="1"/>
  <c r="B27" i="4"/>
  <c r="J26" i="4"/>
  <c r="I26" i="4"/>
  <c r="H26" i="4"/>
  <c r="G26" i="4"/>
  <c r="F26" i="4"/>
  <c r="E26" i="4"/>
  <c r="D26" i="4"/>
  <c r="C26" i="4"/>
  <c r="B26" i="4"/>
  <c r="I25" i="4"/>
  <c r="H25" i="4"/>
  <c r="G25" i="4"/>
  <c r="F25" i="4"/>
  <c r="E25" i="4"/>
  <c r="D25" i="4"/>
  <c r="C25" i="4"/>
  <c r="J25" i="4" s="1"/>
  <c r="B25" i="4"/>
  <c r="I24" i="4"/>
  <c r="H24" i="4"/>
  <c r="G24" i="4"/>
  <c r="F24" i="4"/>
  <c r="E24" i="4"/>
  <c r="D24" i="4"/>
  <c r="C24" i="4"/>
  <c r="J24" i="4" s="1"/>
  <c r="B24" i="4"/>
  <c r="I23" i="4"/>
  <c r="H23" i="4"/>
  <c r="G23" i="4"/>
  <c r="F23" i="4"/>
  <c r="E23" i="4"/>
  <c r="D23" i="4"/>
  <c r="C23" i="4"/>
  <c r="J23" i="4" s="1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I20" i="4"/>
  <c r="H20" i="4"/>
  <c r="G20" i="4"/>
  <c r="F20" i="4"/>
  <c r="E20" i="4"/>
  <c r="D20" i="4"/>
  <c r="C20" i="4"/>
  <c r="J20" i="4" s="1"/>
  <c r="B20" i="4"/>
  <c r="I19" i="4"/>
  <c r="H19" i="4"/>
  <c r="G19" i="4"/>
  <c r="F19" i="4"/>
  <c r="E19" i="4"/>
  <c r="D19" i="4"/>
  <c r="C19" i="4"/>
  <c r="J19" i="4" s="1"/>
  <c r="B19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J16" i="4"/>
  <c r="I16" i="4"/>
  <c r="H16" i="4"/>
  <c r="G16" i="4"/>
  <c r="F16" i="4"/>
  <c r="E16" i="4"/>
  <c r="D16" i="4"/>
  <c r="C16" i="4"/>
  <c r="B16" i="4"/>
  <c r="J15" i="4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J14" i="4" s="1"/>
  <c r="B14" i="4"/>
  <c r="I13" i="4"/>
  <c r="H13" i="4"/>
  <c r="G13" i="4"/>
  <c r="F13" i="4"/>
  <c r="E13" i="4"/>
  <c r="D13" i="4"/>
  <c r="C13" i="4"/>
  <c r="J13" i="4" s="1"/>
  <c r="B13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J9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J8" i="4" s="1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T125" i="3"/>
  <c r="O125" i="3"/>
  <c r="N125" i="3"/>
  <c r="L125" i="3"/>
  <c r="J125" i="3"/>
  <c r="H125" i="3"/>
  <c r="F125" i="3"/>
  <c r="T124" i="3"/>
  <c r="O124" i="3"/>
  <c r="N124" i="3"/>
  <c r="L124" i="3"/>
  <c r="J124" i="3"/>
  <c r="H124" i="3"/>
  <c r="F124" i="3"/>
  <c r="T123" i="3"/>
  <c r="O123" i="3"/>
  <c r="N123" i="3"/>
  <c r="L123" i="3"/>
  <c r="J123" i="3"/>
  <c r="H123" i="3"/>
  <c r="F123" i="3"/>
  <c r="T122" i="3"/>
  <c r="O122" i="3"/>
  <c r="N122" i="3"/>
  <c r="L122" i="3"/>
  <c r="J122" i="3"/>
  <c r="H122" i="3"/>
  <c r="F122" i="3"/>
  <c r="T121" i="3"/>
  <c r="O121" i="3"/>
  <c r="N121" i="3"/>
  <c r="L121" i="3"/>
  <c r="J121" i="3"/>
  <c r="H121" i="3"/>
  <c r="F121" i="3"/>
  <c r="T120" i="3"/>
  <c r="O120" i="3"/>
  <c r="N120" i="3"/>
  <c r="L120" i="3"/>
  <c r="J120" i="3"/>
  <c r="H120" i="3"/>
  <c r="F120" i="3"/>
  <c r="T119" i="3"/>
  <c r="O119" i="3"/>
  <c r="N119" i="3"/>
  <c r="L119" i="3"/>
  <c r="J119" i="3"/>
  <c r="H119" i="3"/>
  <c r="F119" i="3"/>
  <c r="T118" i="3"/>
  <c r="O118" i="3"/>
  <c r="N118" i="3"/>
  <c r="L118" i="3"/>
  <c r="J118" i="3"/>
  <c r="H118" i="3"/>
  <c r="F118" i="3"/>
  <c r="T117" i="3"/>
  <c r="O117" i="3"/>
  <c r="N117" i="3"/>
  <c r="L117" i="3"/>
  <c r="J117" i="3"/>
  <c r="H117" i="3"/>
  <c r="F117" i="3"/>
  <c r="T116" i="3"/>
  <c r="O116" i="3"/>
  <c r="N116" i="3"/>
  <c r="L116" i="3"/>
  <c r="J116" i="3"/>
  <c r="H116" i="3"/>
  <c r="F116" i="3"/>
  <c r="T115" i="3"/>
  <c r="O115" i="3"/>
  <c r="N115" i="3"/>
  <c r="L115" i="3"/>
  <c r="J115" i="3"/>
  <c r="H115" i="3"/>
  <c r="F115" i="3"/>
  <c r="T114" i="3"/>
  <c r="O114" i="3"/>
  <c r="N114" i="3"/>
  <c r="L114" i="3"/>
  <c r="J114" i="3"/>
  <c r="H114" i="3"/>
  <c r="F114" i="3"/>
  <c r="T113" i="3"/>
  <c r="O113" i="3"/>
  <c r="N113" i="3"/>
  <c r="L113" i="3"/>
  <c r="J113" i="3"/>
  <c r="H113" i="3"/>
  <c r="F113" i="3"/>
  <c r="T112" i="3"/>
  <c r="O112" i="3"/>
  <c r="N112" i="3"/>
  <c r="L112" i="3"/>
  <c r="J112" i="3"/>
  <c r="H112" i="3"/>
  <c r="F112" i="3"/>
  <c r="T111" i="3"/>
  <c r="O111" i="3"/>
  <c r="N111" i="3"/>
  <c r="L111" i="3"/>
  <c r="J111" i="3"/>
  <c r="H111" i="3"/>
  <c r="F111" i="3"/>
  <c r="T110" i="3"/>
  <c r="O110" i="3"/>
  <c r="N110" i="3"/>
  <c r="L110" i="3"/>
  <c r="J110" i="3"/>
  <c r="H110" i="3"/>
  <c r="F110" i="3"/>
  <c r="T109" i="3"/>
  <c r="O109" i="3"/>
  <c r="N109" i="3"/>
  <c r="L109" i="3"/>
  <c r="J109" i="3"/>
  <c r="H109" i="3"/>
  <c r="F109" i="3"/>
  <c r="T108" i="3"/>
  <c r="O108" i="3"/>
  <c r="N108" i="3"/>
  <c r="L108" i="3"/>
  <c r="J108" i="3"/>
  <c r="H108" i="3"/>
  <c r="F108" i="3"/>
  <c r="T107" i="3"/>
  <c r="O107" i="3"/>
  <c r="N107" i="3"/>
  <c r="L107" i="3"/>
  <c r="J107" i="3"/>
  <c r="H107" i="3"/>
  <c r="F107" i="3"/>
  <c r="T106" i="3"/>
  <c r="O106" i="3"/>
  <c r="N106" i="3"/>
  <c r="L106" i="3"/>
  <c r="J106" i="3"/>
  <c r="H106" i="3"/>
  <c r="F106" i="3"/>
  <c r="T105" i="3"/>
  <c r="O105" i="3"/>
  <c r="N105" i="3"/>
  <c r="L105" i="3"/>
  <c r="J105" i="3"/>
  <c r="H105" i="3"/>
  <c r="F105" i="3"/>
  <c r="T104" i="3"/>
  <c r="O104" i="3"/>
  <c r="N104" i="3"/>
  <c r="L104" i="3"/>
  <c r="J104" i="3"/>
  <c r="H104" i="3"/>
  <c r="F104" i="3"/>
  <c r="T103" i="3"/>
  <c r="O103" i="3"/>
  <c r="N103" i="3"/>
  <c r="L103" i="3"/>
  <c r="J103" i="3"/>
  <c r="H103" i="3"/>
  <c r="F103" i="3"/>
  <c r="T102" i="3"/>
  <c r="O102" i="3"/>
  <c r="N102" i="3"/>
  <c r="L102" i="3"/>
  <c r="J102" i="3"/>
  <c r="H102" i="3"/>
  <c r="F102" i="3"/>
  <c r="T101" i="3"/>
  <c r="O101" i="3"/>
  <c r="N101" i="3"/>
  <c r="L101" i="3"/>
  <c r="J101" i="3"/>
  <c r="H101" i="3"/>
  <c r="F101" i="3"/>
  <c r="T100" i="3"/>
  <c r="O100" i="3"/>
  <c r="N100" i="3"/>
  <c r="L100" i="3"/>
  <c r="J100" i="3"/>
  <c r="H100" i="3"/>
  <c r="F100" i="3"/>
  <c r="T99" i="3"/>
  <c r="O99" i="3"/>
  <c r="N99" i="3"/>
  <c r="L99" i="3"/>
  <c r="J99" i="3"/>
  <c r="H99" i="3"/>
  <c r="F99" i="3"/>
  <c r="T98" i="3"/>
  <c r="O98" i="3"/>
  <c r="N98" i="3"/>
  <c r="L98" i="3"/>
  <c r="J98" i="3"/>
  <c r="H98" i="3"/>
  <c r="F98" i="3"/>
  <c r="T97" i="3"/>
  <c r="O97" i="3"/>
  <c r="N97" i="3"/>
  <c r="L97" i="3"/>
  <c r="J97" i="3"/>
  <c r="H97" i="3"/>
  <c r="F97" i="3"/>
  <c r="T96" i="3"/>
  <c r="O96" i="3"/>
  <c r="N96" i="3"/>
  <c r="L96" i="3"/>
  <c r="J96" i="3"/>
  <c r="H96" i="3"/>
  <c r="F96" i="3"/>
  <c r="T95" i="3"/>
  <c r="O95" i="3"/>
  <c r="N95" i="3"/>
  <c r="L95" i="3"/>
  <c r="J95" i="3"/>
  <c r="H95" i="3"/>
  <c r="F95" i="3"/>
  <c r="T94" i="3"/>
  <c r="O94" i="3"/>
  <c r="N94" i="3"/>
  <c r="L94" i="3"/>
  <c r="J94" i="3"/>
  <c r="H94" i="3"/>
  <c r="F94" i="3"/>
  <c r="T93" i="3"/>
  <c r="O93" i="3"/>
  <c r="N93" i="3"/>
  <c r="L93" i="3"/>
  <c r="J93" i="3"/>
  <c r="H93" i="3"/>
  <c r="F93" i="3"/>
  <c r="T92" i="3"/>
  <c r="O92" i="3"/>
  <c r="N92" i="3"/>
  <c r="L92" i="3"/>
  <c r="J92" i="3"/>
  <c r="H92" i="3"/>
  <c r="F92" i="3"/>
  <c r="T91" i="3"/>
  <c r="O91" i="3"/>
  <c r="N91" i="3"/>
  <c r="L91" i="3"/>
  <c r="J91" i="3"/>
  <c r="H91" i="3"/>
  <c r="F91" i="3"/>
  <c r="T90" i="3"/>
  <c r="O90" i="3"/>
  <c r="N90" i="3"/>
  <c r="L90" i="3"/>
  <c r="J90" i="3"/>
  <c r="H90" i="3"/>
  <c r="F90" i="3"/>
  <c r="T89" i="3"/>
  <c r="O89" i="3"/>
  <c r="N89" i="3"/>
  <c r="L89" i="3"/>
  <c r="J89" i="3"/>
  <c r="H89" i="3"/>
  <c r="F89" i="3"/>
  <c r="T88" i="3"/>
  <c r="O88" i="3"/>
  <c r="N88" i="3"/>
  <c r="L88" i="3"/>
  <c r="J88" i="3"/>
  <c r="H88" i="3"/>
  <c r="F88" i="3"/>
  <c r="T87" i="3"/>
  <c r="O87" i="3"/>
  <c r="N87" i="3"/>
  <c r="L87" i="3"/>
  <c r="J87" i="3"/>
  <c r="H87" i="3"/>
  <c r="F87" i="3"/>
  <c r="T86" i="3"/>
  <c r="O86" i="3"/>
  <c r="N86" i="3"/>
  <c r="L86" i="3"/>
  <c r="J86" i="3"/>
  <c r="H86" i="3"/>
  <c r="F86" i="3"/>
  <c r="T85" i="3"/>
  <c r="O85" i="3"/>
  <c r="N85" i="3"/>
  <c r="L85" i="3"/>
  <c r="J85" i="3"/>
  <c r="H85" i="3"/>
  <c r="F85" i="3"/>
  <c r="T84" i="3"/>
  <c r="O84" i="3"/>
  <c r="N84" i="3"/>
  <c r="L84" i="3"/>
  <c r="J84" i="3"/>
  <c r="H84" i="3"/>
  <c r="F84" i="3"/>
  <c r="T83" i="3"/>
  <c r="O83" i="3"/>
  <c r="N83" i="3"/>
  <c r="L83" i="3"/>
  <c r="J83" i="3"/>
  <c r="H83" i="3"/>
  <c r="F83" i="3"/>
  <c r="T82" i="3"/>
  <c r="O82" i="3"/>
  <c r="N82" i="3"/>
  <c r="L82" i="3"/>
  <c r="J82" i="3"/>
  <c r="H82" i="3"/>
  <c r="F82" i="3"/>
  <c r="T81" i="3"/>
  <c r="O81" i="3"/>
  <c r="N81" i="3"/>
  <c r="L81" i="3"/>
  <c r="J81" i="3"/>
  <c r="H81" i="3"/>
  <c r="F81" i="3"/>
  <c r="T80" i="3"/>
  <c r="O80" i="3"/>
  <c r="N80" i="3"/>
  <c r="L80" i="3"/>
  <c r="J80" i="3"/>
  <c r="H80" i="3"/>
  <c r="F80" i="3"/>
  <c r="T79" i="3"/>
  <c r="O79" i="3"/>
  <c r="N79" i="3"/>
  <c r="L79" i="3"/>
  <c r="J79" i="3"/>
  <c r="H79" i="3"/>
  <c r="F79" i="3"/>
  <c r="T78" i="3"/>
  <c r="O78" i="3"/>
  <c r="N78" i="3"/>
  <c r="L78" i="3"/>
  <c r="J78" i="3"/>
  <c r="H78" i="3"/>
  <c r="F78" i="3"/>
  <c r="T77" i="3"/>
  <c r="O77" i="3"/>
  <c r="N77" i="3"/>
  <c r="L77" i="3"/>
  <c r="J77" i="3"/>
  <c r="H77" i="3"/>
  <c r="F77" i="3"/>
  <c r="T76" i="3"/>
  <c r="O76" i="3"/>
  <c r="N76" i="3"/>
  <c r="L76" i="3"/>
  <c r="J76" i="3"/>
  <c r="H76" i="3"/>
  <c r="F76" i="3"/>
  <c r="T75" i="3"/>
  <c r="O75" i="3"/>
  <c r="N75" i="3"/>
  <c r="L75" i="3"/>
  <c r="J75" i="3"/>
  <c r="H75" i="3"/>
  <c r="F75" i="3"/>
  <c r="T74" i="3"/>
  <c r="O74" i="3"/>
  <c r="N74" i="3"/>
  <c r="L74" i="3"/>
  <c r="J74" i="3"/>
  <c r="H74" i="3"/>
  <c r="F74" i="3"/>
  <c r="T73" i="3"/>
  <c r="O73" i="3"/>
  <c r="N73" i="3"/>
  <c r="L73" i="3"/>
  <c r="J73" i="3"/>
  <c r="H73" i="3"/>
  <c r="F73" i="3"/>
  <c r="T72" i="3"/>
  <c r="O72" i="3"/>
  <c r="N72" i="3"/>
  <c r="L72" i="3"/>
  <c r="J72" i="3"/>
  <c r="H72" i="3"/>
  <c r="F72" i="3"/>
  <c r="T71" i="3"/>
  <c r="O71" i="3"/>
  <c r="N71" i="3"/>
  <c r="L71" i="3"/>
  <c r="J71" i="3"/>
  <c r="H71" i="3"/>
  <c r="F71" i="3"/>
  <c r="T70" i="3"/>
  <c r="O70" i="3"/>
  <c r="N70" i="3"/>
  <c r="L70" i="3"/>
  <c r="J70" i="3"/>
  <c r="H70" i="3"/>
  <c r="F70" i="3"/>
  <c r="T69" i="3"/>
  <c r="O69" i="3"/>
  <c r="N69" i="3"/>
  <c r="L69" i="3"/>
  <c r="J69" i="3"/>
  <c r="H69" i="3"/>
  <c r="F69" i="3"/>
  <c r="T68" i="3"/>
  <c r="O68" i="3"/>
  <c r="N68" i="3"/>
  <c r="L68" i="3"/>
  <c r="J68" i="3"/>
  <c r="H68" i="3"/>
  <c r="F68" i="3"/>
  <c r="T67" i="3"/>
  <c r="O67" i="3"/>
  <c r="N67" i="3"/>
  <c r="L67" i="3"/>
  <c r="J67" i="3"/>
  <c r="H67" i="3"/>
  <c r="F67" i="3"/>
  <c r="T66" i="3"/>
  <c r="O66" i="3"/>
  <c r="N66" i="3"/>
  <c r="L66" i="3"/>
  <c r="J66" i="3"/>
  <c r="H66" i="3"/>
  <c r="F66" i="3"/>
  <c r="T65" i="3"/>
  <c r="O65" i="3"/>
  <c r="N65" i="3"/>
  <c r="L65" i="3"/>
  <c r="J65" i="3"/>
  <c r="H65" i="3"/>
  <c r="F65" i="3"/>
  <c r="T64" i="3"/>
  <c r="O64" i="3"/>
  <c r="N64" i="3"/>
  <c r="L64" i="3"/>
  <c r="J64" i="3"/>
  <c r="H64" i="3"/>
  <c r="F64" i="3"/>
  <c r="T63" i="3"/>
  <c r="O63" i="3"/>
  <c r="N63" i="3"/>
  <c r="L63" i="3"/>
  <c r="J63" i="3"/>
  <c r="H63" i="3"/>
  <c r="F63" i="3"/>
  <c r="T62" i="3"/>
  <c r="O62" i="3"/>
  <c r="N62" i="3"/>
  <c r="L62" i="3"/>
  <c r="J62" i="3"/>
  <c r="H62" i="3"/>
  <c r="F62" i="3"/>
  <c r="T61" i="3"/>
  <c r="O61" i="3"/>
  <c r="N61" i="3"/>
  <c r="L61" i="3"/>
  <c r="J61" i="3"/>
  <c r="H61" i="3"/>
  <c r="F61" i="3"/>
  <c r="T60" i="3"/>
  <c r="O60" i="3"/>
  <c r="N60" i="3"/>
  <c r="L60" i="3"/>
  <c r="J60" i="3"/>
  <c r="H60" i="3"/>
  <c r="F60" i="3"/>
  <c r="T59" i="3"/>
  <c r="O59" i="3"/>
  <c r="N59" i="3"/>
  <c r="L59" i="3"/>
  <c r="J59" i="3"/>
  <c r="H59" i="3"/>
  <c r="F59" i="3"/>
  <c r="T58" i="3"/>
  <c r="O58" i="3"/>
  <c r="N58" i="3"/>
  <c r="L58" i="3"/>
  <c r="J58" i="3"/>
  <c r="H58" i="3"/>
  <c r="F58" i="3"/>
  <c r="T57" i="3"/>
  <c r="O57" i="3"/>
  <c r="N57" i="3"/>
  <c r="L57" i="3"/>
  <c r="J57" i="3"/>
  <c r="H57" i="3"/>
  <c r="F57" i="3"/>
  <c r="T56" i="3"/>
  <c r="O56" i="3"/>
  <c r="N56" i="3"/>
  <c r="L56" i="3"/>
  <c r="J56" i="3"/>
  <c r="H56" i="3"/>
  <c r="F56" i="3"/>
  <c r="T55" i="3"/>
  <c r="O55" i="3"/>
  <c r="N55" i="3"/>
  <c r="L55" i="3"/>
  <c r="J55" i="3"/>
  <c r="H55" i="3"/>
  <c r="F55" i="3"/>
  <c r="T54" i="3"/>
  <c r="O54" i="3"/>
  <c r="N54" i="3"/>
  <c r="L54" i="3"/>
  <c r="J54" i="3"/>
  <c r="H54" i="3"/>
  <c r="F54" i="3"/>
  <c r="T53" i="3"/>
  <c r="O53" i="3"/>
  <c r="N53" i="3"/>
  <c r="L53" i="3"/>
  <c r="J53" i="3"/>
  <c r="H53" i="3"/>
  <c r="F53" i="3"/>
  <c r="T52" i="3"/>
  <c r="O52" i="3"/>
  <c r="N52" i="3"/>
  <c r="L52" i="3"/>
  <c r="J52" i="3"/>
  <c r="H52" i="3"/>
  <c r="F52" i="3"/>
  <c r="T51" i="3"/>
  <c r="O51" i="3"/>
  <c r="N51" i="3"/>
  <c r="L51" i="3"/>
  <c r="J51" i="3"/>
  <c r="H51" i="3"/>
  <c r="F51" i="3"/>
  <c r="T50" i="3"/>
  <c r="O50" i="3"/>
  <c r="N50" i="3"/>
  <c r="L50" i="3"/>
  <c r="J50" i="3"/>
  <c r="H50" i="3"/>
  <c r="F50" i="3"/>
  <c r="T49" i="3"/>
  <c r="O49" i="3"/>
  <c r="N49" i="3"/>
  <c r="L49" i="3"/>
  <c r="J49" i="3"/>
  <c r="H49" i="3"/>
  <c r="F49" i="3"/>
  <c r="T48" i="3"/>
  <c r="O48" i="3"/>
  <c r="N48" i="3"/>
  <c r="L48" i="3"/>
  <c r="J48" i="3"/>
  <c r="H48" i="3"/>
  <c r="F48" i="3"/>
  <c r="T47" i="3"/>
  <c r="O47" i="3"/>
  <c r="N47" i="3"/>
  <c r="L47" i="3"/>
  <c r="J47" i="3"/>
  <c r="H47" i="3"/>
  <c r="F47" i="3"/>
  <c r="T46" i="3"/>
  <c r="O46" i="3"/>
  <c r="N46" i="3"/>
  <c r="L46" i="3"/>
  <c r="J46" i="3"/>
  <c r="H46" i="3"/>
  <c r="F46" i="3"/>
  <c r="T45" i="3"/>
  <c r="O45" i="3"/>
  <c r="N45" i="3"/>
  <c r="L45" i="3"/>
  <c r="J45" i="3"/>
  <c r="H45" i="3"/>
  <c r="F45" i="3"/>
  <c r="T44" i="3"/>
  <c r="O44" i="3"/>
  <c r="N44" i="3"/>
  <c r="L44" i="3"/>
  <c r="J44" i="3"/>
  <c r="H44" i="3"/>
  <c r="F44" i="3"/>
  <c r="T43" i="3"/>
  <c r="O43" i="3"/>
  <c r="N43" i="3"/>
  <c r="L43" i="3"/>
  <c r="J43" i="3"/>
  <c r="H43" i="3"/>
  <c r="F43" i="3"/>
  <c r="T42" i="3"/>
  <c r="O42" i="3"/>
  <c r="N42" i="3"/>
  <c r="L42" i="3"/>
  <c r="J42" i="3"/>
  <c r="H42" i="3"/>
  <c r="F42" i="3"/>
  <c r="T41" i="3"/>
  <c r="O41" i="3"/>
  <c r="N41" i="3"/>
  <c r="L41" i="3"/>
  <c r="J41" i="3"/>
  <c r="H41" i="3"/>
  <c r="F41" i="3"/>
  <c r="T40" i="3"/>
  <c r="O40" i="3"/>
  <c r="N40" i="3"/>
  <c r="L40" i="3"/>
  <c r="J40" i="3"/>
  <c r="H40" i="3"/>
  <c r="F40" i="3"/>
  <c r="T39" i="3"/>
  <c r="O39" i="3"/>
  <c r="N39" i="3"/>
  <c r="L39" i="3"/>
  <c r="J39" i="3"/>
  <c r="H39" i="3"/>
  <c r="F39" i="3"/>
  <c r="T38" i="3"/>
  <c r="O38" i="3"/>
  <c r="N38" i="3"/>
  <c r="L38" i="3"/>
  <c r="J38" i="3"/>
  <c r="H38" i="3"/>
  <c r="F38" i="3"/>
  <c r="T37" i="3"/>
  <c r="O37" i="3"/>
  <c r="N37" i="3"/>
  <c r="L37" i="3"/>
  <c r="J37" i="3"/>
  <c r="H37" i="3"/>
  <c r="F37" i="3"/>
  <c r="T36" i="3"/>
  <c r="O36" i="3"/>
  <c r="N36" i="3"/>
  <c r="L36" i="3"/>
  <c r="J36" i="3"/>
  <c r="H36" i="3"/>
  <c r="F36" i="3"/>
  <c r="T35" i="3"/>
  <c r="O35" i="3"/>
  <c r="N35" i="3"/>
  <c r="L35" i="3"/>
  <c r="J35" i="3"/>
  <c r="H35" i="3"/>
  <c r="F35" i="3"/>
  <c r="T34" i="3"/>
  <c r="O34" i="3"/>
  <c r="N34" i="3"/>
  <c r="L34" i="3"/>
  <c r="J34" i="3"/>
  <c r="H34" i="3"/>
  <c r="F34" i="3"/>
  <c r="T33" i="3"/>
  <c r="O33" i="3"/>
  <c r="N33" i="3"/>
  <c r="L33" i="3"/>
  <c r="J33" i="3"/>
  <c r="H33" i="3"/>
  <c r="F33" i="3"/>
  <c r="T32" i="3"/>
  <c r="O32" i="3"/>
  <c r="N32" i="3"/>
  <c r="L32" i="3"/>
  <c r="J32" i="3"/>
  <c r="H32" i="3"/>
  <c r="F32" i="3"/>
  <c r="T31" i="3"/>
  <c r="O31" i="3"/>
  <c r="N31" i="3"/>
  <c r="L31" i="3"/>
  <c r="J31" i="3"/>
  <c r="H31" i="3"/>
  <c r="F31" i="3"/>
  <c r="T30" i="3"/>
  <c r="O30" i="3"/>
  <c r="N30" i="3"/>
  <c r="L30" i="3"/>
  <c r="J30" i="3"/>
  <c r="H30" i="3"/>
  <c r="F30" i="3"/>
  <c r="T29" i="3"/>
  <c r="O29" i="3"/>
  <c r="N29" i="3"/>
  <c r="L29" i="3"/>
  <c r="J29" i="3"/>
  <c r="H29" i="3"/>
  <c r="F29" i="3"/>
  <c r="T28" i="3"/>
  <c r="O28" i="3"/>
  <c r="N28" i="3"/>
  <c r="L28" i="3"/>
  <c r="J28" i="3"/>
  <c r="H28" i="3"/>
  <c r="F28" i="3"/>
  <c r="T27" i="3"/>
  <c r="O27" i="3"/>
  <c r="N27" i="3"/>
  <c r="L27" i="3"/>
  <c r="J27" i="3"/>
  <c r="H27" i="3"/>
  <c r="F27" i="3"/>
  <c r="T26" i="3"/>
  <c r="O26" i="3"/>
  <c r="N26" i="3"/>
  <c r="L26" i="3"/>
  <c r="J26" i="3"/>
  <c r="H26" i="3"/>
  <c r="F26" i="3"/>
  <c r="T25" i="3"/>
  <c r="O25" i="3"/>
  <c r="N25" i="3"/>
  <c r="L25" i="3"/>
  <c r="J25" i="3"/>
  <c r="H25" i="3"/>
  <c r="F25" i="3"/>
  <c r="T24" i="3"/>
  <c r="O24" i="3"/>
  <c r="N24" i="3"/>
  <c r="L24" i="3"/>
  <c r="J24" i="3"/>
  <c r="H24" i="3"/>
  <c r="F24" i="3"/>
  <c r="T23" i="3"/>
  <c r="O23" i="3"/>
  <c r="N23" i="3"/>
  <c r="L23" i="3"/>
  <c r="J23" i="3"/>
  <c r="H23" i="3"/>
  <c r="F23" i="3"/>
  <c r="T22" i="3"/>
  <c r="O22" i="3"/>
  <c r="N22" i="3"/>
  <c r="L22" i="3"/>
  <c r="J22" i="3"/>
  <c r="H22" i="3"/>
  <c r="F22" i="3"/>
  <c r="T21" i="3"/>
  <c r="O21" i="3"/>
  <c r="N21" i="3"/>
  <c r="L21" i="3"/>
  <c r="J21" i="3"/>
  <c r="H21" i="3"/>
  <c r="F21" i="3"/>
  <c r="T20" i="3"/>
  <c r="O20" i="3"/>
  <c r="N20" i="3"/>
  <c r="L20" i="3"/>
  <c r="J20" i="3"/>
  <c r="H20" i="3"/>
  <c r="F20" i="3"/>
  <c r="T19" i="3"/>
  <c r="O19" i="3"/>
  <c r="N19" i="3"/>
  <c r="L19" i="3"/>
  <c r="J19" i="3"/>
  <c r="H19" i="3"/>
  <c r="F19" i="3"/>
  <c r="T18" i="3"/>
  <c r="O18" i="3"/>
  <c r="N18" i="3"/>
  <c r="L18" i="3"/>
  <c r="J18" i="3"/>
  <c r="H18" i="3"/>
  <c r="F18" i="3"/>
  <c r="T17" i="3"/>
  <c r="O17" i="3"/>
  <c r="N17" i="3"/>
  <c r="L17" i="3"/>
  <c r="J17" i="3"/>
  <c r="H17" i="3"/>
  <c r="F17" i="3"/>
  <c r="T16" i="3"/>
  <c r="O16" i="3"/>
  <c r="N16" i="3"/>
  <c r="L16" i="3"/>
  <c r="J16" i="3"/>
  <c r="H16" i="3"/>
  <c r="F16" i="3"/>
  <c r="T15" i="3"/>
  <c r="O15" i="3"/>
  <c r="N15" i="3"/>
  <c r="L15" i="3"/>
  <c r="J15" i="3"/>
  <c r="H15" i="3"/>
  <c r="F15" i="3"/>
  <c r="T14" i="3"/>
  <c r="O14" i="3"/>
  <c r="N14" i="3"/>
  <c r="L14" i="3"/>
  <c r="J14" i="3"/>
  <c r="H14" i="3"/>
  <c r="F14" i="3"/>
  <c r="T13" i="3"/>
  <c r="O13" i="3"/>
  <c r="N13" i="3"/>
  <c r="L13" i="3"/>
  <c r="J13" i="3"/>
  <c r="H13" i="3"/>
  <c r="F13" i="3"/>
  <c r="T12" i="3"/>
  <c r="O12" i="3"/>
  <c r="N12" i="3"/>
  <c r="L12" i="3"/>
  <c r="J12" i="3"/>
  <c r="H12" i="3"/>
  <c r="F12" i="3"/>
  <c r="T11" i="3"/>
  <c r="O11" i="3"/>
  <c r="N11" i="3"/>
  <c r="L11" i="3"/>
  <c r="J11" i="3"/>
  <c r="H11" i="3"/>
  <c r="F11" i="3"/>
  <c r="T10" i="3"/>
  <c r="O10" i="3"/>
  <c r="N10" i="3"/>
  <c r="L10" i="3"/>
  <c r="J10" i="3"/>
  <c r="H10" i="3"/>
  <c r="F10" i="3"/>
  <c r="T9" i="3"/>
  <c r="O9" i="3"/>
  <c r="N9" i="3"/>
  <c r="L9" i="3"/>
  <c r="J9" i="3"/>
  <c r="H9" i="3"/>
  <c r="F9" i="3"/>
  <c r="T8" i="3"/>
  <c r="O8" i="3"/>
  <c r="N8" i="3"/>
  <c r="L8" i="3"/>
  <c r="J8" i="3"/>
  <c r="H8" i="3"/>
  <c r="F8" i="3"/>
  <c r="T7" i="3"/>
  <c r="O7" i="3"/>
  <c r="N7" i="3"/>
  <c r="L7" i="3"/>
  <c r="J7" i="3"/>
  <c r="H7" i="3"/>
  <c r="F7" i="3"/>
  <c r="T6" i="3"/>
  <c r="O6" i="3"/>
  <c r="N6" i="3"/>
  <c r="L6" i="3"/>
  <c r="J6" i="3"/>
  <c r="H6" i="3"/>
  <c r="F6" i="3"/>
  <c r="T125" i="2"/>
  <c r="O125" i="2"/>
  <c r="N125" i="2"/>
  <c r="L125" i="2"/>
  <c r="J125" i="2"/>
  <c r="H125" i="2"/>
  <c r="F125" i="2"/>
  <c r="T124" i="2"/>
  <c r="O124" i="2"/>
  <c r="N124" i="2"/>
  <c r="L124" i="2"/>
  <c r="J124" i="2"/>
  <c r="H124" i="2"/>
  <c r="F124" i="2"/>
  <c r="T123" i="2"/>
  <c r="O123" i="2"/>
  <c r="N123" i="2"/>
  <c r="L123" i="2"/>
  <c r="J123" i="2"/>
  <c r="H123" i="2"/>
  <c r="F123" i="2"/>
  <c r="T122" i="2"/>
  <c r="O122" i="2"/>
  <c r="N122" i="2"/>
  <c r="L122" i="2"/>
  <c r="J122" i="2"/>
  <c r="H122" i="2"/>
  <c r="F122" i="2"/>
  <c r="T121" i="2"/>
  <c r="O121" i="2"/>
  <c r="N121" i="2"/>
  <c r="L121" i="2"/>
  <c r="J121" i="2"/>
  <c r="H121" i="2"/>
  <c r="F121" i="2"/>
  <c r="T120" i="2"/>
  <c r="O120" i="2"/>
  <c r="N120" i="2"/>
  <c r="L120" i="2"/>
  <c r="J120" i="2"/>
  <c r="H120" i="2"/>
  <c r="F120" i="2"/>
  <c r="T119" i="2"/>
  <c r="O119" i="2"/>
  <c r="N119" i="2"/>
  <c r="L119" i="2"/>
  <c r="J119" i="2"/>
  <c r="H119" i="2"/>
  <c r="F119" i="2"/>
  <c r="T118" i="2"/>
  <c r="O118" i="2"/>
  <c r="N118" i="2"/>
  <c r="L118" i="2"/>
  <c r="J118" i="2"/>
  <c r="H118" i="2"/>
  <c r="F118" i="2"/>
  <c r="T117" i="2"/>
  <c r="O117" i="2"/>
  <c r="N117" i="2"/>
  <c r="L117" i="2"/>
  <c r="J117" i="2"/>
  <c r="H117" i="2"/>
  <c r="F117" i="2"/>
  <c r="T116" i="2"/>
  <c r="O116" i="2"/>
  <c r="N116" i="2"/>
  <c r="L116" i="2"/>
  <c r="J116" i="2"/>
  <c r="H116" i="2"/>
  <c r="F116" i="2"/>
  <c r="T115" i="2"/>
  <c r="O115" i="2"/>
  <c r="N115" i="2"/>
  <c r="L115" i="2"/>
  <c r="J115" i="2"/>
  <c r="H115" i="2"/>
  <c r="F115" i="2"/>
  <c r="T114" i="2"/>
  <c r="O114" i="2"/>
  <c r="N114" i="2"/>
  <c r="L114" i="2"/>
  <c r="J114" i="2"/>
  <c r="H114" i="2"/>
  <c r="F114" i="2"/>
  <c r="T113" i="2"/>
  <c r="O113" i="2"/>
  <c r="N113" i="2"/>
  <c r="L113" i="2"/>
  <c r="J113" i="2"/>
  <c r="H113" i="2"/>
  <c r="F113" i="2"/>
  <c r="T112" i="2"/>
  <c r="O112" i="2"/>
  <c r="N112" i="2"/>
  <c r="L112" i="2"/>
  <c r="J112" i="2"/>
  <c r="H112" i="2"/>
  <c r="F112" i="2"/>
  <c r="T111" i="2"/>
  <c r="O111" i="2"/>
  <c r="N111" i="2"/>
  <c r="L111" i="2"/>
  <c r="J111" i="2"/>
  <c r="H111" i="2"/>
  <c r="F111" i="2"/>
  <c r="T110" i="2"/>
  <c r="O110" i="2"/>
  <c r="N110" i="2"/>
  <c r="L110" i="2"/>
  <c r="J110" i="2"/>
  <c r="H110" i="2"/>
  <c r="F110" i="2"/>
  <c r="T109" i="2"/>
  <c r="O109" i="2"/>
  <c r="N109" i="2"/>
  <c r="L109" i="2"/>
  <c r="J109" i="2"/>
  <c r="H109" i="2"/>
  <c r="F109" i="2"/>
  <c r="T108" i="2"/>
  <c r="O108" i="2"/>
  <c r="N108" i="2"/>
  <c r="L108" i="2"/>
  <c r="J108" i="2"/>
  <c r="H108" i="2"/>
  <c r="F108" i="2"/>
  <c r="T107" i="2"/>
  <c r="O107" i="2"/>
  <c r="N107" i="2"/>
  <c r="L107" i="2"/>
  <c r="J107" i="2"/>
  <c r="H107" i="2"/>
  <c r="F107" i="2"/>
  <c r="T106" i="2"/>
  <c r="O106" i="2"/>
  <c r="N106" i="2"/>
  <c r="L106" i="2"/>
  <c r="J106" i="2"/>
  <c r="H106" i="2"/>
  <c r="F106" i="2"/>
  <c r="T105" i="2"/>
  <c r="O105" i="2"/>
  <c r="N105" i="2"/>
  <c r="L105" i="2"/>
  <c r="J105" i="2"/>
  <c r="H105" i="2"/>
  <c r="F105" i="2"/>
  <c r="T104" i="2"/>
  <c r="O104" i="2"/>
  <c r="N104" i="2"/>
  <c r="L104" i="2"/>
  <c r="J104" i="2"/>
  <c r="H104" i="2"/>
  <c r="F104" i="2"/>
  <c r="T103" i="2"/>
  <c r="O103" i="2"/>
  <c r="N103" i="2"/>
  <c r="L103" i="2"/>
  <c r="J103" i="2"/>
  <c r="H103" i="2"/>
  <c r="F103" i="2"/>
  <c r="T102" i="2"/>
  <c r="O102" i="2"/>
  <c r="N102" i="2"/>
  <c r="L102" i="2"/>
  <c r="J102" i="2"/>
  <c r="H102" i="2"/>
  <c r="F102" i="2"/>
  <c r="T101" i="2"/>
  <c r="O101" i="2"/>
  <c r="N101" i="2"/>
  <c r="L101" i="2"/>
  <c r="J101" i="2"/>
  <c r="H101" i="2"/>
  <c r="F101" i="2"/>
  <c r="T100" i="2"/>
  <c r="O100" i="2"/>
  <c r="N100" i="2"/>
  <c r="L100" i="2"/>
  <c r="J100" i="2"/>
  <c r="H100" i="2"/>
  <c r="F100" i="2"/>
  <c r="T99" i="2"/>
  <c r="O99" i="2"/>
  <c r="N99" i="2"/>
  <c r="L99" i="2"/>
  <c r="J99" i="2"/>
  <c r="H99" i="2"/>
  <c r="F99" i="2"/>
  <c r="T98" i="2"/>
  <c r="O98" i="2"/>
  <c r="N98" i="2"/>
  <c r="L98" i="2"/>
  <c r="J98" i="2"/>
  <c r="H98" i="2"/>
  <c r="F98" i="2"/>
  <c r="T97" i="2"/>
  <c r="O97" i="2"/>
  <c r="N97" i="2"/>
  <c r="L97" i="2"/>
  <c r="J97" i="2"/>
  <c r="H97" i="2"/>
  <c r="F97" i="2"/>
  <c r="T96" i="2"/>
  <c r="O96" i="2"/>
  <c r="N96" i="2"/>
  <c r="L96" i="2"/>
  <c r="J96" i="2"/>
  <c r="H96" i="2"/>
  <c r="F96" i="2"/>
  <c r="T95" i="2"/>
  <c r="O95" i="2"/>
  <c r="N95" i="2"/>
  <c r="L95" i="2"/>
  <c r="J95" i="2"/>
  <c r="H95" i="2"/>
  <c r="F95" i="2"/>
  <c r="T94" i="2"/>
  <c r="O94" i="2"/>
  <c r="N94" i="2"/>
  <c r="L94" i="2"/>
  <c r="J94" i="2"/>
  <c r="H94" i="2"/>
  <c r="F94" i="2"/>
  <c r="T93" i="2"/>
  <c r="O93" i="2"/>
  <c r="N93" i="2"/>
  <c r="L93" i="2"/>
  <c r="J93" i="2"/>
  <c r="H93" i="2"/>
  <c r="F93" i="2"/>
  <c r="T92" i="2"/>
  <c r="O92" i="2"/>
  <c r="N92" i="2"/>
  <c r="L92" i="2"/>
  <c r="J92" i="2"/>
  <c r="H92" i="2"/>
  <c r="F92" i="2"/>
  <c r="T91" i="2"/>
  <c r="O91" i="2"/>
  <c r="N91" i="2"/>
  <c r="L91" i="2"/>
  <c r="J91" i="2"/>
  <c r="H91" i="2"/>
  <c r="F91" i="2"/>
  <c r="T90" i="2"/>
  <c r="O90" i="2"/>
  <c r="N90" i="2"/>
  <c r="L90" i="2"/>
  <c r="J90" i="2"/>
  <c r="H90" i="2"/>
  <c r="F90" i="2"/>
  <c r="T89" i="2"/>
  <c r="O89" i="2"/>
  <c r="N89" i="2"/>
  <c r="L89" i="2"/>
  <c r="J89" i="2"/>
  <c r="H89" i="2"/>
  <c r="F89" i="2"/>
  <c r="T88" i="2"/>
  <c r="O88" i="2"/>
  <c r="N88" i="2"/>
  <c r="L88" i="2"/>
  <c r="J88" i="2"/>
  <c r="H88" i="2"/>
  <c r="F88" i="2"/>
  <c r="T87" i="2"/>
  <c r="O87" i="2"/>
  <c r="N87" i="2"/>
  <c r="L87" i="2"/>
  <c r="J87" i="2"/>
  <c r="H87" i="2"/>
  <c r="F87" i="2"/>
  <c r="T86" i="2"/>
  <c r="O86" i="2"/>
  <c r="N86" i="2"/>
  <c r="L86" i="2"/>
  <c r="J86" i="2"/>
  <c r="H86" i="2"/>
  <c r="F86" i="2"/>
  <c r="T85" i="2"/>
  <c r="O85" i="2"/>
  <c r="N85" i="2"/>
  <c r="L85" i="2"/>
  <c r="J85" i="2"/>
  <c r="H85" i="2"/>
  <c r="F85" i="2"/>
  <c r="T84" i="2"/>
  <c r="O84" i="2"/>
  <c r="N84" i="2"/>
  <c r="L84" i="2"/>
  <c r="J84" i="2"/>
  <c r="H84" i="2"/>
  <c r="F84" i="2"/>
  <c r="T83" i="2"/>
  <c r="O83" i="2"/>
  <c r="N83" i="2"/>
  <c r="L83" i="2"/>
  <c r="J83" i="2"/>
  <c r="H83" i="2"/>
  <c r="F83" i="2"/>
  <c r="T82" i="2"/>
  <c r="O82" i="2"/>
  <c r="N82" i="2"/>
  <c r="L82" i="2"/>
  <c r="J82" i="2"/>
  <c r="H82" i="2"/>
  <c r="F82" i="2"/>
  <c r="T81" i="2"/>
  <c r="O81" i="2"/>
  <c r="N81" i="2"/>
  <c r="L81" i="2"/>
  <c r="J81" i="2"/>
  <c r="H81" i="2"/>
  <c r="F81" i="2"/>
  <c r="T80" i="2"/>
  <c r="O80" i="2"/>
  <c r="N80" i="2"/>
  <c r="L80" i="2"/>
  <c r="J80" i="2"/>
  <c r="H80" i="2"/>
  <c r="F80" i="2"/>
  <c r="T79" i="2"/>
  <c r="O79" i="2"/>
  <c r="N79" i="2"/>
  <c r="L79" i="2"/>
  <c r="J79" i="2"/>
  <c r="H79" i="2"/>
  <c r="F79" i="2"/>
  <c r="T78" i="2"/>
  <c r="O78" i="2"/>
  <c r="N78" i="2"/>
  <c r="L78" i="2"/>
  <c r="J78" i="2"/>
  <c r="H78" i="2"/>
  <c r="F78" i="2"/>
  <c r="T77" i="2"/>
  <c r="O77" i="2"/>
  <c r="N77" i="2"/>
  <c r="L77" i="2"/>
  <c r="J77" i="2"/>
  <c r="H77" i="2"/>
  <c r="F77" i="2"/>
  <c r="T76" i="2"/>
  <c r="O76" i="2"/>
  <c r="N76" i="2"/>
  <c r="L76" i="2"/>
  <c r="J76" i="2"/>
  <c r="H76" i="2"/>
  <c r="F76" i="2"/>
  <c r="T75" i="2"/>
  <c r="O75" i="2"/>
  <c r="N75" i="2"/>
  <c r="L75" i="2"/>
  <c r="J75" i="2"/>
  <c r="H75" i="2"/>
  <c r="F75" i="2"/>
  <c r="T74" i="2"/>
  <c r="O74" i="2"/>
  <c r="N74" i="2"/>
  <c r="L74" i="2"/>
  <c r="J74" i="2"/>
  <c r="H74" i="2"/>
  <c r="F74" i="2"/>
  <c r="T73" i="2"/>
  <c r="O73" i="2"/>
  <c r="N73" i="2"/>
  <c r="L73" i="2"/>
  <c r="J73" i="2"/>
  <c r="H73" i="2"/>
  <c r="F73" i="2"/>
  <c r="T72" i="2"/>
  <c r="O72" i="2"/>
  <c r="N72" i="2"/>
  <c r="L72" i="2"/>
  <c r="J72" i="2"/>
  <c r="H72" i="2"/>
  <c r="F72" i="2"/>
  <c r="T71" i="2"/>
  <c r="O71" i="2"/>
  <c r="N71" i="2"/>
  <c r="L71" i="2"/>
  <c r="J71" i="2"/>
  <c r="H71" i="2"/>
  <c r="F71" i="2"/>
  <c r="T70" i="2"/>
  <c r="O70" i="2"/>
  <c r="N70" i="2"/>
  <c r="L70" i="2"/>
  <c r="J70" i="2"/>
  <c r="H70" i="2"/>
  <c r="F70" i="2"/>
  <c r="T69" i="2"/>
  <c r="O69" i="2"/>
  <c r="N69" i="2"/>
  <c r="L69" i="2"/>
  <c r="J69" i="2"/>
  <c r="H69" i="2"/>
  <c r="F69" i="2"/>
  <c r="T68" i="2"/>
  <c r="O68" i="2"/>
  <c r="N68" i="2"/>
  <c r="L68" i="2"/>
  <c r="J68" i="2"/>
  <c r="H68" i="2"/>
  <c r="F68" i="2"/>
  <c r="T67" i="2"/>
  <c r="O67" i="2"/>
  <c r="N67" i="2"/>
  <c r="L67" i="2"/>
  <c r="J67" i="2"/>
  <c r="H67" i="2"/>
  <c r="F67" i="2"/>
  <c r="T66" i="2"/>
  <c r="O66" i="2"/>
  <c r="N66" i="2"/>
  <c r="L66" i="2"/>
  <c r="J66" i="2"/>
  <c r="H66" i="2"/>
  <c r="F66" i="2"/>
  <c r="T65" i="2"/>
  <c r="O65" i="2"/>
  <c r="N65" i="2"/>
  <c r="L65" i="2"/>
  <c r="J65" i="2"/>
  <c r="H65" i="2"/>
  <c r="F65" i="2"/>
  <c r="T64" i="2"/>
  <c r="O64" i="2"/>
  <c r="N64" i="2"/>
  <c r="L64" i="2"/>
  <c r="J64" i="2"/>
  <c r="H64" i="2"/>
  <c r="F64" i="2"/>
  <c r="T63" i="2"/>
  <c r="O63" i="2"/>
  <c r="N63" i="2"/>
  <c r="L63" i="2"/>
  <c r="J63" i="2"/>
  <c r="H63" i="2"/>
  <c r="F63" i="2"/>
  <c r="T62" i="2"/>
  <c r="O62" i="2"/>
  <c r="N62" i="2"/>
  <c r="L62" i="2"/>
  <c r="J62" i="2"/>
  <c r="H62" i="2"/>
  <c r="F62" i="2"/>
  <c r="T61" i="2"/>
  <c r="O61" i="2"/>
  <c r="N61" i="2"/>
  <c r="L61" i="2"/>
  <c r="J61" i="2"/>
  <c r="H61" i="2"/>
  <c r="F61" i="2"/>
  <c r="T60" i="2"/>
  <c r="O60" i="2"/>
  <c r="N60" i="2"/>
  <c r="L60" i="2"/>
  <c r="J60" i="2"/>
  <c r="H60" i="2"/>
  <c r="F60" i="2"/>
  <c r="T59" i="2"/>
  <c r="O59" i="2"/>
  <c r="N59" i="2"/>
  <c r="L59" i="2"/>
  <c r="J59" i="2"/>
  <c r="H59" i="2"/>
  <c r="F59" i="2"/>
  <c r="T58" i="2"/>
  <c r="O58" i="2"/>
  <c r="N58" i="2"/>
  <c r="L58" i="2"/>
  <c r="J58" i="2"/>
  <c r="H58" i="2"/>
  <c r="F58" i="2"/>
  <c r="T57" i="2"/>
  <c r="O57" i="2"/>
  <c r="N57" i="2"/>
  <c r="L57" i="2"/>
  <c r="J57" i="2"/>
  <c r="H57" i="2"/>
  <c r="F57" i="2"/>
  <c r="T56" i="2"/>
  <c r="O56" i="2"/>
  <c r="N56" i="2"/>
  <c r="L56" i="2"/>
  <c r="J56" i="2"/>
  <c r="H56" i="2"/>
  <c r="F56" i="2"/>
  <c r="T55" i="2"/>
  <c r="O55" i="2"/>
  <c r="N55" i="2"/>
  <c r="L55" i="2"/>
  <c r="J55" i="2"/>
  <c r="H55" i="2"/>
  <c r="F55" i="2"/>
  <c r="T54" i="2"/>
  <c r="O54" i="2"/>
  <c r="N54" i="2"/>
  <c r="L54" i="2"/>
  <c r="J54" i="2"/>
  <c r="H54" i="2"/>
  <c r="F54" i="2"/>
  <c r="T53" i="2"/>
  <c r="O53" i="2"/>
  <c r="N53" i="2"/>
  <c r="L53" i="2"/>
  <c r="J53" i="2"/>
  <c r="H53" i="2"/>
  <c r="F53" i="2"/>
  <c r="T52" i="2"/>
  <c r="O52" i="2"/>
  <c r="N52" i="2"/>
  <c r="L52" i="2"/>
  <c r="J52" i="2"/>
  <c r="H52" i="2"/>
  <c r="F52" i="2"/>
  <c r="T51" i="2"/>
  <c r="O51" i="2"/>
  <c r="N51" i="2"/>
  <c r="L51" i="2"/>
  <c r="J51" i="2"/>
  <c r="H51" i="2"/>
  <c r="F51" i="2"/>
  <c r="T50" i="2"/>
  <c r="O50" i="2"/>
  <c r="N50" i="2"/>
  <c r="L50" i="2"/>
  <c r="J50" i="2"/>
  <c r="H50" i="2"/>
  <c r="F50" i="2"/>
  <c r="T49" i="2"/>
  <c r="O49" i="2"/>
  <c r="N49" i="2"/>
  <c r="L49" i="2"/>
  <c r="J49" i="2"/>
  <c r="H49" i="2"/>
  <c r="F49" i="2"/>
  <c r="T48" i="2"/>
  <c r="O48" i="2"/>
  <c r="N48" i="2"/>
  <c r="L48" i="2"/>
  <c r="J48" i="2"/>
  <c r="H48" i="2"/>
  <c r="F48" i="2"/>
  <c r="T47" i="2"/>
  <c r="O47" i="2"/>
  <c r="N47" i="2"/>
  <c r="L47" i="2"/>
  <c r="J47" i="2"/>
  <c r="H47" i="2"/>
  <c r="F47" i="2"/>
  <c r="T46" i="2"/>
  <c r="O46" i="2"/>
  <c r="N46" i="2"/>
  <c r="L46" i="2"/>
  <c r="J46" i="2"/>
  <c r="H46" i="2"/>
  <c r="F46" i="2"/>
  <c r="T45" i="2"/>
  <c r="O45" i="2"/>
  <c r="N45" i="2"/>
  <c r="L45" i="2"/>
  <c r="J45" i="2"/>
  <c r="H45" i="2"/>
  <c r="F45" i="2"/>
  <c r="T44" i="2"/>
  <c r="O44" i="2"/>
  <c r="N44" i="2"/>
  <c r="L44" i="2"/>
  <c r="J44" i="2"/>
  <c r="H44" i="2"/>
  <c r="F44" i="2"/>
  <c r="T43" i="2"/>
  <c r="O43" i="2"/>
  <c r="N43" i="2"/>
  <c r="L43" i="2"/>
  <c r="J43" i="2"/>
  <c r="H43" i="2"/>
  <c r="F43" i="2"/>
  <c r="T42" i="2"/>
  <c r="O42" i="2"/>
  <c r="N42" i="2"/>
  <c r="L42" i="2"/>
  <c r="J42" i="2"/>
  <c r="H42" i="2"/>
  <c r="F42" i="2"/>
  <c r="T41" i="2"/>
  <c r="O41" i="2"/>
  <c r="N41" i="2"/>
  <c r="L41" i="2"/>
  <c r="J41" i="2"/>
  <c r="H41" i="2"/>
  <c r="F41" i="2"/>
  <c r="T40" i="2"/>
  <c r="O40" i="2"/>
  <c r="N40" i="2"/>
  <c r="L40" i="2"/>
  <c r="J40" i="2"/>
  <c r="H40" i="2"/>
  <c r="F40" i="2"/>
  <c r="T39" i="2"/>
  <c r="O39" i="2"/>
  <c r="N39" i="2"/>
  <c r="L39" i="2"/>
  <c r="J39" i="2"/>
  <c r="H39" i="2"/>
  <c r="F39" i="2"/>
  <c r="T38" i="2"/>
  <c r="O38" i="2"/>
  <c r="N38" i="2"/>
  <c r="L38" i="2"/>
  <c r="J38" i="2"/>
  <c r="H38" i="2"/>
  <c r="F38" i="2"/>
  <c r="T37" i="2"/>
  <c r="O37" i="2"/>
  <c r="N37" i="2"/>
  <c r="L37" i="2"/>
  <c r="J37" i="2"/>
  <c r="H37" i="2"/>
  <c r="F37" i="2"/>
  <c r="T36" i="2"/>
  <c r="O36" i="2"/>
  <c r="N36" i="2"/>
  <c r="L36" i="2"/>
  <c r="J36" i="2"/>
  <c r="H36" i="2"/>
  <c r="F36" i="2"/>
  <c r="T35" i="2"/>
  <c r="O35" i="2"/>
  <c r="N35" i="2"/>
  <c r="L35" i="2"/>
  <c r="J35" i="2"/>
  <c r="H35" i="2"/>
  <c r="F35" i="2"/>
  <c r="T34" i="2"/>
  <c r="O34" i="2"/>
  <c r="N34" i="2"/>
  <c r="L34" i="2"/>
  <c r="J34" i="2"/>
  <c r="H34" i="2"/>
  <c r="F34" i="2"/>
  <c r="T33" i="2"/>
  <c r="O33" i="2"/>
  <c r="N33" i="2"/>
  <c r="L33" i="2"/>
  <c r="J33" i="2"/>
  <c r="H33" i="2"/>
  <c r="F33" i="2"/>
  <c r="T32" i="2"/>
  <c r="O32" i="2"/>
  <c r="N32" i="2"/>
  <c r="L32" i="2"/>
  <c r="J32" i="2"/>
  <c r="H32" i="2"/>
  <c r="F32" i="2"/>
  <c r="T31" i="2"/>
  <c r="O31" i="2"/>
  <c r="N31" i="2"/>
  <c r="L31" i="2"/>
  <c r="J31" i="2"/>
  <c r="H31" i="2"/>
  <c r="F31" i="2"/>
  <c r="T30" i="2"/>
  <c r="O30" i="2"/>
  <c r="N30" i="2"/>
  <c r="L30" i="2"/>
  <c r="J30" i="2"/>
  <c r="H30" i="2"/>
  <c r="F30" i="2"/>
  <c r="T29" i="2"/>
  <c r="O29" i="2"/>
  <c r="N29" i="2"/>
  <c r="L29" i="2"/>
  <c r="J29" i="2"/>
  <c r="H29" i="2"/>
  <c r="F29" i="2"/>
  <c r="T28" i="2"/>
  <c r="O28" i="2"/>
  <c r="N28" i="2"/>
  <c r="L28" i="2"/>
  <c r="J28" i="2"/>
  <c r="H28" i="2"/>
  <c r="F28" i="2"/>
  <c r="T27" i="2"/>
  <c r="O27" i="2"/>
  <c r="N27" i="2"/>
  <c r="L27" i="2"/>
  <c r="J27" i="2"/>
  <c r="H27" i="2"/>
  <c r="F27" i="2"/>
  <c r="T26" i="2"/>
  <c r="O26" i="2"/>
  <c r="N26" i="2"/>
  <c r="L26" i="2"/>
  <c r="J26" i="2"/>
  <c r="H26" i="2"/>
  <c r="F26" i="2"/>
  <c r="T25" i="2"/>
  <c r="O25" i="2"/>
  <c r="N25" i="2"/>
  <c r="L25" i="2"/>
  <c r="J25" i="2"/>
  <c r="H25" i="2"/>
  <c r="F25" i="2"/>
  <c r="T24" i="2"/>
  <c r="O24" i="2"/>
  <c r="N24" i="2"/>
  <c r="L24" i="2"/>
  <c r="J24" i="2"/>
  <c r="H24" i="2"/>
  <c r="F24" i="2"/>
  <c r="T23" i="2"/>
  <c r="O23" i="2"/>
  <c r="N23" i="2"/>
  <c r="L23" i="2"/>
  <c r="J23" i="2"/>
  <c r="H23" i="2"/>
  <c r="F23" i="2"/>
  <c r="T22" i="2"/>
  <c r="O22" i="2"/>
  <c r="N22" i="2"/>
  <c r="L22" i="2"/>
  <c r="J22" i="2"/>
  <c r="H22" i="2"/>
  <c r="F22" i="2"/>
  <c r="T21" i="2"/>
  <c r="O21" i="2"/>
  <c r="N21" i="2"/>
  <c r="L21" i="2"/>
  <c r="J21" i="2"/>
  <c r="H21" i="2"/>
  <c r="F21" i="2"/>
  <c r="T20" i="2"/>
  <c r="O20" i="2"/>
  <c r="N20" i="2"/>
  <c r="L20" i="2"/>
  <c r="J20" i="2"/>
  <c r="H20" i="2"/>
  <c r="F20" i="2"/>
  <c r="T19" i="2"/>
  <c r="O19" i="2"/>
  <c r="N19" i="2"/>
  <c r="L19" i="2"/>
  <c r="J19" i="2"/>
  <c r="H19" i="2"/>
  <c r="F19" i="2"/>
  <c r="T18" i="2"/>
  <c r="O18" i="2"/>
  <c r="N18" i="2"/>
  <c r="L18" i="2"/>
  <c r="J18" i="2"/>
  <c r="H18" i="2"/>
  <c r="F18" i="2"/>
  <c r="T17" i="2"/>
  <c r="O17" i="2"/>
  <c r="N17" i="2"/>
  <c r="L17" i="2"/>
  <c r="J17" i="2"/>
  <c r="H17" i="2"/>
  <c r="F17" i="2"/>
  <c r="T16" i="2"/>
  <c r="O16" i="2"/>
  <c r="N16" i="2"/>
  <c r="L16" i="2"/>
  <c r="J16" i="2"/>
  <c r="H16" i="2"/>
  <c r="F16" i="2"/>
  <c r="T15" i="2"/>
  <c r="O15" i="2"/>
  <c r="N15" i="2"/>
  <c r="L15" i="2"/>
  <c r="J15" i="2"/>
  <c r="H15" i="2"/>
  <c r="F15" i="2"/>
  <c r="T14" i="2"/>
  <c r="O14" i="2"/>
  <c r="N14" i="2"/>
  <c r="L14" i="2"/>
  <c r="J14" i="2"/>
  <c r="H14" i="2"/>
  <c r="F14" i="2"/>
  <c r="T13" i="2"/>
  <c r="O13" i="2"/>
  <c r="N13" i="2"/>
  <c r="L13" i="2"/>
  <c r="J13" i="2"/>
  <c r="H13" i="2"/>
  <c r="F13" i="2"/>
  <c r="T12" i="2"/>
  <c r="O12" i="2"/>
  <c r="N12" i="2"/>
  <c r="L12" i="2"/>
  <c r="J12" i="2"/>
  <c r="H12" i="2"/>
  <c r="F12" i="2"/>
  <c r="T11" i="2"/>
  <c r="O11" i="2"/>
  <c r="N11" i="2"/>
  <c r="L11" i="2"/>
  <c r="J11" i="2"/>
  <c r="H11" i="2"/>
  <c r="F11" i="2"/>
  <c r="T10" i="2"/>
  <c r="O10" i="2"/>
  <c r="N10" i="2"/>
  <c r="L10" i="2"/>
  <c r="J10" i="2"/>
  <c r="H10" i="2"/>
  <c r="F10" i="2"/>
  <c r="T9" i="2"/>
  <c r="O9" i="2"/>
  <c r="N9" i="2"/>
  <c r="L9" i="2"/>
  <c r="J9" i="2"/>
  <c r="H9" i="2"/>
  <c r="F9" i="2"/>
  <c r="T8" i="2"/>
  <c r="O8" i="2"/>
  <c r="N8" i="2"/>
  <c r="L8" i="2"/>
  <c r="J8" i="2"/>
  <c r="H8" i="2"/>
  <c r="F8" i="2"/>
  <c r="T7" i="2"/>
  <c r="O7" i="2"/>
  <c r="N7" i="2"/>
  <c r="L7" i="2"/>
  <c r="J7" i="2"/>
  <c r="H7" i="2"/>
  <c r="F7" i="2"/>
  <c r="T6" i="2"/>
  <c r="O6" i="2"/>
  <c r="N6" i="2"/>
  <c r="L6" i="2"/>
  <c r="J6" i="2"/>
  <c r="H6" i="2"/>
  <c r="F6" i="2"/>
</calcChain>
</file>

<file path=xl/sharedStrings.xml><?xml version="1.0" encoding="utf-8"?>
<sst xmlns="http://schemas.openxmlformats.org/spreadsheetml/2006/main" count="236" uniqueCount="162">
  <si>
    <t>Tec Econ Challenge
Formato operativo de evaluación</t>
  </si>
  <si>
    <t>Uso del archivo</t>
  </si>
  <si>
    <t>1</t>
  </si>
  <si>
    <t>Cada fila de las hojas “Evaluación escrita” y “Final presencial” corresponde a la evaluación de un jurado para un equipo.</t>
  </si>
  <si>
    <t>2</t>
  </si>
  <si>
    <t>Capture el folio del equipo y el nombre o identificador del jurado. No incluya el nombre de la preparatoria en la evaluación escrita cuando se utilice revisión anónima.</t>
  </si>
  <si>
    <t>3</t>
  </si>
  <si>
    <t>Asigne un puntaje a cada criterio dentro del máximo indicado. El nivel de desempeño se calcula automáticamente.</t>
  </si>
  <si>
    <t>4</t>
  </si>
  <si>
    <t>Registre observaciones breves, específicas y verificables. La conclusión elegida por el equipo no es un criterio de evaluación.</t>
  </si>
  <si>
    <t>5</t>
  </si>
  <si>
    <t>Una posible falta de integridad académica no se compensa reduciendo puntos. Marque la señal y descríbala para que la organización la revise por separado.</t>
  </si>
  <si>
    <t>6</t>
  </si>
  <si>
    <t>Cuando exista conflicto de interés, marque “Sí” y no finalice la evaluación hasta recibir indicaciones de la organización.</t>
  </si>
  <si>
    <t>7</t>
  </si>
  <si>
    <t>Las hojas de consolidación calculan promedios por folio. Capture los folios que participarán en cada etapa en la columna A de dichas hojas.</t>
  </si>
  <si>
    <t>Escala de desempeño</t>
  </si>
  <si>
    <t>Nivel</t>
  </si>
  <si>
    <t>Porcentaje del valor del criterio</t>
  </si>
  <si>
    <t>Interpretación operativa</t>
  </si>
  <si>
    <t>Excelente</t>
  </si>
  <si>
    <t>90% a 100%</t>
  </si>
  <si>
    <t>Cumple plenamente el descriptor y presenta un desempeño sobresaliente.</t>
  </si>
  <si>
    <t>Bueno</t>
  </si>
  <si>
    <t>75% a 89%</t>
  </si>
  <si>
    <t>Cumple adecuadamente el descriptor, con deficiencias menores.</t>
  </si>
  <si>
    <t>Suficiente</t>
  </si>
  <si>
    <t>60% a 74%</t>
  </si>
  <si>
    <t>Cumple parcialmente; existen limitaciones relevantes.</t>
  </si>
  <si>
    <t>Insuficiente</t>
  </si>
  <si>
    <t>Menos de 60%</t>
  </si>
  <si>
    <t>No alcanza el desempeño mínimo esperado en el criterio.</t>
  </si>
  <si>
    <t>Parámetros de consolidación</t>
  </si>
  <si>
    <t>Número esperado de evaluaciones por equipo, etapa escrita</t>
  </si>
  <si>
    <t>Número esperado de evaluaciones por equipo, final presencial</t>
  </si>
  <si>
    <t>Correo de la organización</t>
  </si>
  <si>
    <t>marco.mendez@tec.mx</t>
  </si>
  <si>
    <t>Evaluación del documento escrito</t>
  </si>
  <si>
    <t>Una fila por evaluación. Capture únicamente en las celdas blancas o amarillas; los niveles y totales se calculan automáticamente.</t>
  </si>
  <si>
    <t>Folio del equipo</t>
  </si>
  <si>
    <t>Jurado</t>
  </si>
  <si>
    <t>Fecha</t>
  </si>
  <si>
    <t>Conflicto de interés</t>
  </si>
  <si>
    <t>C1 Puntaje
(máx. 15)</t>
  </si>
  <si>
    <t>C1 Nivel</t>
  </si>
  <si>
    <t>C2 Puntaje
(máx. 25)</t>
  </si>
  <si>
    <t>C2 Nivel</t>
  </si>
  <si>
    <t>C3 Puntaje
(máx. 25)</t>
  </si>
  <si>
    <t>C3 Nivel</t>
  </si>
  <si>
    <t>C4 Puntaje
(máx. 20)</t>
  </si>
  <si>
    <t>C4 Nivel</t>
  </si>
  <si>
    <t>C5 Puntaje
(máx. 15)</t>
  </si>
  <si>
    <t>C5 Nivel</t>
  </si>
  <si>
    <t>Total
/100</t>
  </si>
  <si>
    <t>Observaciones de la evaluación</t>
  </si>
  <si>
    <t>Señal de integridad</t>
  </si>
  <si>
    <t>Descripción de la señal</t>
  </si>
  <si>
    <t>Estado</t>
  </si>
  <si>
    <t>Evaluación válida</t>
  </si>
  <si>
    <t>Preparación / campus
(solo uso interno)</t>
  </si>
  <si>
    <t>Notas de coordinación</t>
  </si>
  <si>
    <t>Referencia rápida de criterios</t>
  </si>
  <si>
    <t>Criterio</t>
  </si>
  <si>
    <t>Máximo</t>
  </si>
  <si>
    <t>Pregunta orientadora</t>
  </si>
  <si>
    <t>Observación</t>
  </si>
  <si>
    <t>C1. Comprensión y delimitación del problema económico</t>
  </si>
  <si>
    <t>¿El equipo identifica con precisión la pregunta central, los actores, las variables y el alcance del problema?</t>
  </si>
  <si>
    <t>Consulte la rúbrica oficial para los descriptores completos.</t>
  </si>
  <si>
    <t>C2. Coherencia entre teoría, datos y conclusiones</t>
  </si>
  <si>
    <t>¿Los conceptos económicos y los datos se conectan mediante una cadena de razonamiento consistente?</t>
  </si>
  <si>
    <t>C3. Calidad del análisis de datos</t>
  </si>
  <si>
    <t>¿El equipo selecciona, procesa, presenta e interpreta adecuadamente los datos pertinentes?</t>
  </si>
  <si>
    <t>C4. Uso de evidencia, fuentes y reconocimiento de limitaciones</t>
  </si>
  <si>
    <t>¿El equipo integra fuentes diversas, distingue su naturaleza y reconoce las limitaciones de la evidencia?</t>
  </si>
  <si>
    <t>C5. Claridad, estructura y calidad de la comunicación escrita</t>
  </si>
  <si>
    <t>¿El documento presenta el análisis de manera ordenada, precisa y comprensible?</t>
  </si>
  <si>
    <t>Evaluación de la final presencial</t>
  </si>
  <si>
    <t>C1 Puntaje
(máx. 25)</t>
  </si>
  <si>
    <t>C3 Puntaje
(máx. 20)</t>
  </si>
  <si>
    <t>C5 Puntaje
(máx. 10)</t>
  </si>
  <si>
    <t>C1. Solidez y coherencia del argumento</t>
  </si>
  <si>
    <t>¿La exposición presenta una postura clara, consistente y debidamente justificada?</t>
  </si>
  <si>
    <t>C2. Uso de evidencia y respuesta a objeciones</t>
  </si>
  <si>
    <t>¿El equipo utiliza evidencia pertinente y atiende objeciones o explicaciones alternativas?</t>
  </si>
  <si>
    <t>C3. Claridad y estructura de la presentación</t>
  </si>
  <si>
    <t>¿La exposición prioriza la información esencial, respeta el tiempo y utiliza apoyos legibles?</t>
  </si>
  <si>
    <t>C4. Defensa ante las preguntas del jurado</t>
  </si>
  <si>
    <t>¿El equipo comprende su análisis y responde de manera directa, razonada y consistente?</t>
  </si>
  <si>
    <t>C5. Participación y coordinación del equipo</t>
  </si>
  <si>
    <t>¿El equipo distribuye la participación y actúa de manera coordinada?</t>
  </si>
  <si>
    <t>Consolidado escrita</t>
  </si>
  <si>
    <t>Criterios y máximos</t>
  </si>
  <si>
    <t>Clave</t>
  </si>
  <si>
    <t>Capture en la columna A los folios que participan en esta etapa. Los demás campos se calculan automáticamente a partir de las evaluaciones válidas.</t>
  </si>
  <si>
    <t>C1</t>
  </si>
  <si>
    <t>Comprensión y delimitación del problema económico</t>
  </si>
  <si>
    <t>C2</t>
  </si>
  <si>
    <t>Coherencia entre teoría, datos y conclusiones</t>
  </si>
  <si>
    <t>Evaluaciones válidas</t>
  </si>
  <si>
    <t>Promedio total</t>
  </si>
  <si>
    <t>Promedio C1</t>
  </si>
  <si>
    <t>Promedio C2</t>
  </si>
  <si>
    <t>Promedio C3</t>
  </si>
  <si>
    <t>Promedio C4</t>
  </si>
  <si>
    <t>Promedio C5</t>
  </si>
  <si>
    <t>Evaluación completa</t>
  </si>
  <si>
    <t>Lugar preliminar</t>
  </si>
  <si>
    <t>Observación de coordinación</t>
  </si>
  <si>
    <t>C3</t>
  </si>
  <si>
    <t>Calidad del análisis de datos</t>
  </si>
  <si>
    <t>C4</t>
  </si>
  <si>
    <t>Uso de evidencia, fuentes y reconocimiento de limitaciones</t>
  </si>
  <si>
    <t>C5</t>
  </si>
  <si>
    <t>Claridad, estructura y calidad de la comunicación escrita</t>
  </si>
  <si>
    <t>Consolidado final</t>
  </si>
  <si>
    <t>Solidez y coherencia del argumento</t>
  </si>
  <si>
    <t>Uso de evidencia y respuesta a objeciones</t>
  </si>
  <si>
    <t>Claridad y estructura de la presentación</t>
  </si>
  <si>
    <t>Defensa ante las preguntas del jurado</t>
  </si>
  <si>
    <t>Participación y coordinación del equipo</t>
  </si>
  <si>
    <t>Referencia operativa de la rúbrica</t>
  </si>
  <si>
    <t>Etapa</t>
  </si>
  <si>
    <t>Suficiente / Insuficiente</t>
  </si>
  <si>
    <t>Escrita</t>
  </si>
  <si>
    <t>Comprensión y delimitación</t>
  </si>
  <si>
    <t>Delimita con precisión problema, actores, variables y alcance.</t>
  </si>
  <si>
    <t>Comprende los componentes principales; la delimitación puede mejorar.</t>
  </si>
  <si>
    <t>Suficiente: formulación amplia o incompleta. Insuficiente: confunde la pregunta central o analiza otro problema.</t>
  </si>
  <si>
    <t>Conecta conceptos, evidencia y conclusiones; distingue correlación y causalidad.</t>
  </si>
  <si>
    <t>Lógica correcta con conexiones o imprecisiones menores.</t>
  </si>
  <si>
    <t>Suficiente: saltos parciales. Insuficiente: errores conceptuales o conclusiones no sustentadas.</t>
  </si>
  <si>
    <t>Procesa e interpreta datos pertinentes; visualizaciones correctas y funcionales.</t>
  </si>
  <si>
    <t>Análisis correcto y relevante, con margen de profundización.</t>
  </si>
  <si>
    <t>Suficiente: principalmente descriptivo. Insuficiente: errores, omisiones o visualizaciones inadecuadas.</t>
  </si>
  <si>
    <t>Evidencia, fuentes y limitaciones</t>
  </si>
  <si>
    <t>Cruza fuentes diversas, mantiene trazabilidad y reconoce evidencia contraria y límites.</t>
  </si>
  <si>
    <t>Fuentes diversas y trazabilidad adecuada; tratamiento crítico mejorable.</t>
  </si>
  <si>
    <t>Suficiente: fuentes reducidas o límites generales. Insuficiente: afirmaciones sin fuente o uso acrítico.</t>
  </si>
  <si>
    <t>Comunicación escrita</t>
  </si>
  <si>
    <t>Estructura clara, redacción precisa y elementos visuales bien integrados.</t>
  </si>
  <si>
    <t>Documento comprensible con deficiencias menores de síntesis o integración.</t>
  </si>
  <si>
    <t>Suficiente: organización irregular. Insuficiente: estructura o redacción impiden comprender el análisis.</t>
  </si>
  <si>
    <t>Final</t>
  </si>
  <si>
    <t>Postura clara, consistente y plenamente justificada.</t>
  </si>
  <si>
    <t>Argumento sólido con alguna conexión o matiz por desarrollar.</t>
  </si>
  <si>
    <t>Suficiente: postura identificable con vacíos. Insuficiente: argumento contradictorio o sin sustento.</t>
  </si>
  <si>
    <t>Evidencia y respuesta a objeciones</t>
  </si>
  <si>
    <t>Integra evidencia relevante y responde objeciones de forma fundada.</t>
  </si>
  <si>
    <t>Respalda adecuadamente el argumento y atiende objeciones principales.</t>
  </si>
  <si>
    <t>Suficiente: evidencia o respuestas parciales. Insuficiente: objeciones ignoradas o afirmaciones sin sustento.</t>
  </si>
  <si>
    <t>Secuencia clara, síntesis, tiempo adecuado y apoyos visuales pertinentes.</t>
  </si>
  <si>
    <t>Presentación clara con pequeñas deficiencias de ritmo o integración.</t>
  </si>
  <si>
    <t>Suficiente: organización o tiempo mejorables. Insuficiente: estructura impide seguir el argumento.</t>
  </si>
  <si>
    <t>Defensa ante preguntas</t>
  </si>
  <si>
    <t>Respuestas directas y fundamentadas; reconoce límites y corrige cuando corresponde.</t>
  </si>
  <si>
    <t>Responde adecuadamente, con alguna dificultad ante objeciones complejas.</t>
  </si>
  <si>
    <t>Suficiente: respuestas vagas o incompletas. Insuficiente: evade o no puede explicar su propio análisis.</t>
  </si>
  <si>
    <t>Participación y coordinación</t>
  </si>
  <si>
    <t>Participación equilibrada, dominio compartido y coordinación consistente.</t>
  </si>
  <si>
    <t>Buena coordinación con alguna concentración de participación.</t>
  </si>
  <si>
    <t>Suficiente: distribución desigual. Insuficiente: dependencia de una persona o contradicciones internas.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</si>
</sst>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name val="Carlito"/>
    </font>
    <font>
      <b/>
      <sz val="20"/>
      <color rgb="FFFFFFFF"/>
      <name val="Arial"/>
    </font>
    <font>
      <sz val="11"/>
      <name val="Arial"/>
    </font>
    <font>
      <b/>
      <sz val="12"/>
      <color rgb="FFFFFFFF"/>
      <name val="Arial"/>
    </font>
    <font>
      <b/>
      <sz val="11"/>
      <color rgb="FF0039A6"/>
      <name val="Arial"/>
    </font>
    <font>
      <b/>
      <sz val="11"/>
      <color rgb="FFFFFFFF"/>
      <name val="Arial"/>
    </font>
    <font>
      <b/>
      <sz val="11"/>
      <color rgb="FF1A2E51"/>
      <name val="Arial"/>
    </font>
    <font>
      <b/>
      <sz val="11"/>
      <color rgb="FFA15C00"/>
      <name val="Arial"/>
    </font>
    <font>
      <sz val="11"/>
      <color rgb="FF0039A6"/>
      <name val="Arial"/>
    </font>
    <font>
      <sz val="9"/>
      <name val="Arial"/>
    </font>
    <font>
      <sz val="9"/>
      <color rgb="FF1A2E51"/>
      <name val="Arial"/>
    </font>
    <font>
      <b/>
      <sz val="18"/>
      <color rgb="FFFFFFFF"/>
      <name val="Arial"/>
    </font>
    <font>
      <i/>
      <sz val="11"/>
      <color rgb="FF1A2E51"/>
      <name val="Arial"/>
    </font>
    <font>
      <b/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A2E51"/>
      </patternFill>
    </fill>
    <fill>
      <patternFill patternType="solid">
        <fgColor rgb="FF0039A6"/>
      </patternFill>
    </fill>
    <fill>
      <patternFill patternType="solid">
        <fgColor rgb="FFFFF4DF"/>
      </patternFill>
    </fill>
    <fill>
      <patternFill patternType="solid">
        <fgColor rgb="FFEEF5FC"/>
      </patternFill>
    </fill>
    <fill>
      <patternFill patternType="solid">
        <fgColor rgb="FFFFFFFF"/>
      </patternFill>
    </fill>
    <fill>
      <patternFill patternType="solid">
        <fgColor rgb="FFF3F5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6DAE2"/>
      </bottom>
      <diagonal/>
    </border>
    <border>
      <left/>
      <right/>
      <top/>
      <bottom style="hair">
        <color rgb="FFD6DA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5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4" borderId="0" xfId="0" applyFont="1" applyFill="1"/>
    <xf numFmtId="0" fontId="8" fillId="5" borderId="0" xfId="0" applyFont="1" applyFill="1"/>
    <xf numFmtId="0" fontId="2" fillId="0" borderId="1" xfId="0" applyFont="1" applyBorder="1"/>
    <xf numFmtId="0" fontId="9" fillId="0" borderId="0" xfId="0" applyFont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9" fillId="6" borderId="2" xfId="0" applyFont="1" applyFill="1" applyBorder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4" borderId="2" xfId="0" applyFont="1" applyFill="1" applyBorder="1" applyAlignment="1">
      <alignment vertical="top" wrapText="1"/>
    </xf>
    <xf numFmtId="14" fontId="9" fillId="6" borderId="0" xfId="0" applyNumberFormat="1" applyFont="1" applyFill="1" applyAlignment="1">
      <alignment vertical="top" wrapText="1"/>
    </xf>
    <xf numFmtId="14" fontId="9" fillId="6" borderId="2" xfId="0" applyNumberFormat="1" applyFont="1" applyFill="1" applyBorder="1" applyAlignment="1">
      <alignment vertical="top" wrapText="1"/>
    </xf>
    <xf numFmtId="164" fontId="9" fillId="6" borderId="0" xfId="0" applyNumberFormat="1" applyFont="1" applyFill="1" applyAlignment="1">
      <alignment vertical="top" wrapText="1"/>
    </xf>
    <xf numFmtId="164" fontId="10" fillId="7" borderId="0" xfId="0" applyNumberFormat="1" applyFont="1" applyFill="1" applyAlignment="1">
      <alignment vertical="top" wrapText="1"/>
    </xf>
    <xf numFmtId="164" fontId="9" fillId="6" borderId="2" xfId="0" applyNumberFormat="1" applyFont="1" applyFill="1" applyBorder="1" applyAlignment="1">
      <alignment vertical="top" wrapText="1"/>
    </xf>
    <xf numFmtId="164" fontId="10" fillId="7" borderId="2" xfId="0" applyNumberFormat="1" applyFont="1" applyFill="1" applyBorder="1" applyAlignment="1">
      <alignment vertical="top" wrapText="1"/>
    </xf>
    <xf numFmtId="2" fontId="9" fillId="7" borderId="0" xfId="0" applyNumberFormat="1" applyFont="1" applyFill="1" applyAlignment="1">
      <alignment vertical="top" wrapText="1"/>
    </xf>
    <xf numFmtId="2" fontId="9" fillId="7" borderId="2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2" fillId="0" borderId="1" xfId="0" applyFont="1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11" fillId="2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wrapText="1"/>
    </xf>
    <xf numFmtId="0" fontId="5" fillId="2" borderId="0" xfId="0" applyFont="1" applyFill="1"/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color rgb="FFA15C00"/>
      </font>
      <fill>
        <patternFill patternType="solid">
          <bgColor rgb="FFFFF4DF"/>
        </patternFill>
      </fill>
    </dxf>
    <dxf>
      <font>
        <b/>
        <color rgb="FF18794E"/>
      </font>
      <fill>
        <patternFill patternType="solid">
          <bgColor rgb="FFEAF7F0"/>
        </patternFill>
      </fill>
    </dxf>
    <dxf>
      <font>
        <b/>
        <color rgb="FFA15C00"/>
      </font>
      <fill>
        <patternFill patternType="solid">
          <bgColor rgb="FFFFF4DF"/>
        </patternFill>
      </fill>
    </dxf>
    <dxf>
      <font>
        <b/>
        <color rgb="FF18794E"/>
      </font>
      <fill>
        <patternFill patternType="solid">
          <bgColor rgb="FFEAF7F0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18794E"/>
      </font>
      <fill>
        <patternFill patternType="solid">
          <bgColor rgb="FFEAF7F0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18794E"/>
      </font>
      <fill>
        <patternFill patternType="solid">
          <bgColor rgb="FFEAF7F0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2" workbookViewId="0">
      <selection activeCell="B3" sqref="B3"/>
    </sheetView>
  </sheetViews>
  <sheetFormatPr baseColWidth="10" defaultColWidth="9" defaultRowHeight="13.5"/>
  <cols>
    <col min="1" max="1" width="15.5625" bestFit="1" customWidth="1"/>
    <col min="2" max="2" width="64" customWidth="1"/>
    <col min="3" max="3" width="38" customWidth="1"/>
    <col min="4" max="8" width="12" customWidth="1"/>
  </cols>
  <sheetData>
    <row r="1" spans="1:8">
      <c r="A1" s="31" t="s">
        <v>0</v>
      </c>
      <c r="B1" s="31"/>
      <c r="C1" s="31"/>
      <c r="D1" s="31"/>
      <c r="E1" s="31"/>
      <c r="F1" s="31"/>
      <c r="G1" s="31"/>
      <c r="H1" s="31"/>
    </row>
    <row r="2" spans="1:8" ht="39.4" customHeight="1">
      <c r="A2" s="31"/>
      <c r="B2" s="31"/>
      <c r="C2" s="31"/>
      <c r="D2" s="31"/>
      <c r="E2" s="31"/>
      <c r="F2" s="31"/>
      <c r="G2" s="31"/>
      <c r="H2" s="31"/>
    </row>
    <row r="3" spans="1:8">
      <c r="A3" s="1"/>
      <c r="B3" s="1"/>
      <c r="C3" s="1"/>
      <c r="D3" s="1"/>
      <c r="E3" s="1"/>
      <c r="F3" s="1"/>
      <c r="G3" s="1"/>
      <c r="H3" s="1"/>
    </row>
    <row r="4" spans="1:8" ht="15">
      <c r="A4" s="32" t="s">
        <v>1</v>
      </c>
      <c r="B4" s="32"/>
      <c r="C4" s="32"/>
      <c r="D4" s="32"/>
      <c r="E4" s="32"/>
      <c r="F4" s="32"/>
      <c r="G4" s="32"/>
      <c r="H4" s="32"/>
    </row>
    <row r="5" spans="1:8">
      <c r="A5" s="1"/>
      <c r="B5" s="1"/>
      <c r="C5" s="1"/>
      <c r="D5" s="1"/>
      <c r="E5" s="1"/>
      <c r="F5" s="1"/>
      <c r="G5" s="1"/>
      <c r="H5" s="1"/>
    </row>
    <row r="6" spans="1:8" ht="27">
      <c r="A6" s="2" t="s">
        <v>2</v>
      </c>
      <c r="B6" s="3" t="s">
        <v>3</v>
      </c>
      <c r="C6" s="1"/>
      <c r="D6" s="1"/>
      <c r="E6" s="1"/>
      <c r="F6" s="1"/>
      <c r="G6" s="1"/>
      <c r="H6" s="1"/>
    </row>
    <row r="7" spans="1:8" ht="40.5">
      <c r="A7" s="2" t="s">
        <v>4</v>
      </c>
      <c r="B7" s="3" t="s">
        <v>5</v>
      </c>
      <c r="C7" s="1"/>
      <c r="D7" s="1"/>
      <c r="E7" s="1"/>
      <c r="F7" s="1"/>
      <c r="G7" s="1"/>
      <c r="H7" s="1"/>
    </row>
    <row r="8" spans="1:8" ht="27">
      <c r="A8" s="2" t="s">
        <v>6</v>
      </c>
      <c r="B8" s="3" t="s">
        <v>7</v>
      </c>
      <c r="C8" s="1"/>
      <c r="D8" s="1"/>
      <c r="E8" s="1"/>
      <c r="F8" s="1"/>
      <c r="G8" s="1"/>
      <c r="H8" s="1"/>
    </row>
    <row r="9" spans="1:8" ht="27">
      <c r="A9" s="2" t="s">
        <v>8</v>
      </c>
      <c r="B9" s="3" t="s">
        <v>9</v>
      </c>
      <c r="C9" s="1"/>
      <c r="D9" s="1"/>
      <c r="E9" s="1"/>
      <c r="F9" s="1"/>
      <c r="G9" s="1"/>
      <c r="H9" s="1"/>
    </row>
    <row r="10" spans="1:8" ht="40.5">
      <c r="A10" s="2" t="s">
        <v>10</v>
      </c>
      <c r="B10" s="3" t="s">
        <v>11</v>
      </c>
      <c r="C10" s="1"/>
      <c r="D10" s="1"/>
      <c r="E10" s="1"/>
      <c r="F10" s="1"/>
      <c r="G10" s="1"/>
      <c r="H10" s="1"/>
    </row>
    <row r="11" spans="1:8" ht="27">
      <c r="A11" s="2" t="s">
        <v>12</v>
      </c>
      <c r="B11" s="3" t="s">
        <v>13</v>
      </c>
      <c r="C11" s="1"/>
      <c r="D11" s="1"/>
      <c r="E11" s="1"/>
      <c r="F11" s="1"/>
      <c r="G11" s="1"/>
      <c r="H11" s="1"/>
    </row>
    <row r="12" spans="1:8" ht="27">
      <c r="A12" s="2" t="s">
        <v>14</v>
      </c>
      <c r="B12" s="3" t="s">
        <v>15</v>
      </c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15">
      <c r="A14" s="33" t="s">
        <v>16</v>
      </c>
      <c r="B14" s="33"/>
      <c r="C14" s="33"/>
      <c r="D14" s="33"/>
      <c r="E14" s="33"/>
      <c r="F14" s="33"/>
      <c r="G14" s="33"/>
      <c r="H14" s="33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13.9">
      <c r="A16" s="4" t="s">
        <v>17</v>
      </c>
      <c r="B16" s="4" t="s">
        <v>18</v>
      </c>
      <c r="C16" s="4" t="s">
        <v>19</v>
      </c>
      <c r="D16" s="1"/>
      <c r="E16" s="1"/>
      <c r="F16" s="1"/>
      <c r="G16" s="1"/>
      <c r="H16" s="1"/>
    </row>
    <row r="17" spans="1:8" ht="27">
      <c r="A17" s="5" t="s">
        <v>20</v>
      </c>
      <c r="B17" s="5" t="s">
        <v>21</v>
      </c>
      <c r="C17" s="5" t="s">
        <v>22</v>
      </c>
      <c r="D17" s="1"/>
      <c r="E17" s="1"/>
      <c r="F17" s="1"/>
      <c r="G17" s="1"/>
      <c r="H17" s="1"/>
    </row>
    <row r="18" spans="1:8" ht="27">
      <c r="A18" s="5" t="s">
        <v>23</v>
      </c>
      <c r="B18" s="5" t="s">
        <v>24</v>
      </c>
      <c r="C18" s="5" t="s">
        <v>25</v>
      </c>
      <c r="D18" s="1"/>
      <c r="E18" s="1"/>
      <c r="F18" s="1"/>
      <c r="G18" s="1"/>
      <c r="H18" s="1"/>
    </row>
    <row r="19" spans="1:8" ht="27">
      <c r="A19" s="5" t="s">
        <v>26</v>
      </c>
      <c r="B19" s="5" t="s">
        <v>27</v>
      </c>
      <c r="C19" s="5" t="s">
        <v>28</v>
      </c>
      <c r="D19" s="1"/>
      <c r="E19" s="1"/>
      <c r="F19" s="1"/>
      <c r="G19" s="1"/>
      <c r="H19" s="1"/>
    </row>
    <row r="20" spans="1:8" ht="27">
      <c r="A20" s="5" t="s">
        <v>29</v>
      </c>
      <c r="B20" s="5" t="s">
        <v>30</v>
      </c>
      <c r="C20" s="5" t="s">
        <v>31</v>
      </c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15">
      <c r="A22" s="33" t="s">
        <v>32</v>
      </c>
      <c r="B22" s="33"/>
      <c r="C22" s="33"/>
      <c r="D22" s="33"/>
      <c r="E22" s="33"/>
      <c r="F22" s="33"/>
      <c r="G22" s="33"/>
      <c r="H22" s="33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 ht="69.400000000000006">
      <c r="A24" s="6" t="s">
        <v>33</v>
      </c>
      <c r="B24" s="7">
        <v>3</v>
      </c>
      <c r="C24" s="1"/>
      <c r="D24" s="1"/>
      <c r="E24" s="1"/>
      <c r="F24" s="1"/>
      <c r="G24" s="1"/>
      <c r="H24" s="1"/>
    </row>
    <row r="25" spans="1:8" ht="69.400000000000006">
      <c r="A25" s="6" t="s">
        <v>34</v>
      </c>
      <c r="B25" s="7">
        <v>3</v>
      </c>
      <c r="C25" s="1"/>
      <c r="D25" s="1"/>
      <c r="E25" s="1"/>
      <c r="F25" s="1"/>
      <c r="G25" s="1"/>
      <c r="H25" s="1"/>
    </row>
    <row r="26" spans="1:8" ht="27.75">
      <c r="A26" s="6" t="s">
        <v>35</v>
      </c>
      <c r="B26" s="8" t="s">
        <v>36</v>
      </c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9"/>
      <c r="B30" s="9"/>
      <c r="C30" s="9"/>
      <c r="D30" s="9"/>
      <c r="E30" s="9"/>
      <c r="F30" s="9"/>
      <c r="G30" s="9"/>
      <c r="H30" s="9"/>
    </row>
  </sheetData>
  <mergeCells count="4">
    <mergeCell ref="A1:H2"/>
    <mergeCell ref="A4:H4"/>
    <mergeCell ref="A14:H14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0"/>
  <sheetViews>
    <sheetView topLeftCell="A2" workbookViewId="0">
      <selection sqref="A1:V2"/>
    </sheetView>
  </sheetViews>
  <sheetFormatPr baseColWidth="10" defaultColWidth="9" defaultRowHeight="13.5"/>
  <cols>
    <col min="1" max="1" width="15" customWidth="1"/>
    <col min="2" max="2" width="20" customWidth="1"/>
    <col min="3" max="3" width="12" customWidth="1"/>
    <col min="4" max="4" width="16" customWidth="1"/>
    <col min="5" max="5" width="11" customWidth="1"/>
    <col min="6" max="6" width="13" customWidth="1"/>
    <col min="7" max="7" width="11" customWidth="1"/>
    <col min="8" max="8" width="13" customWidth="1"/>
    <col min="9" max="9" width="11" customWidth="1"/>
    <col min="10" max="10" width="13" customWidth="1"/>
    <col min="11" max="11" width="11" customWidth="1"/>
    <col min="12" max="12" width="13" customWidth="1"/>
    <col min="13" max="13" width="11" customWidth="1"/>
    <col min="14" max="14" width="13" customWidth="1"/>
    <col min="15" max="15" width="10" customWidth="1"/>
    <col min="16" max="16" width="36" customWidth="1"/>
    <col min="17" max="17" width="15" customWidth="1"/>
    <col min="18" max="18" width="34" customWidth="1"/>
    <col min="19" max="20" width="14" customWidth="1"/>
    <col min="21" max="21" width="23" customWidth="1"/>
    <col min="22" max="22" width="32" customWidth="1"/>
  </cols>
  <sheetData>
    <row r="1" spans="1:22">
      <c r="A1" s="34" t="s">
        <v>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ht="13.9">
      <c r="A3" s="35" t="s">
        <v>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" customHeight="1">
      <c r="A5" s="28" t="s">
        <v>39</v>
      </c>
      <c r="B5" s="28" t="s">
        <v>40</v>
      </c>
      <c r="C5" s="28" t="s">
        <v>41</v>
      </c>
      <c r="D5" s="28" t="s">
        <v>42</v>
      </c>
      <c r="E5" s="28" t="s">
        <v>43</v>
      </c>
      <c r="F5" s="28" t="s">
        <v>44</v>
      </c>
      <c r="G5" s="28" t="s">
        <v>45</v>
      </c>
      <c r="H5" s="28" t="s">
        <v>46</v>
      </c>
      <c r="I5" s="28" t="s">
        <v>47</v>
      </c>
      <c r="J5" s="28" t="s">
        <v>48</v>
      </c>
      <c r="K5" s="28" t="s">
        <v>49</v>
      </c>
      <c r="L5" s="28" t="s">
        <v>50</v>
      </c>
      <c r="M5" s="28" t="s">
        <v>51</v>
      </c>
      <c r="N5" s="28" t="s">
        <v>52</v>
      </c>
      <c r="O5" s="28" t="s">
        <v>53</v>
      </c>
      <c r="P5" s="28" t="s">
        <v>54</v>
      </c>
      <c r="Q5" s="28" t="s">
        <v>55</v>
      </c>
      <c r="R5" s="28" t="s">
        <v>56</v>
      </c>
      <c r="S5" s="28" t="s">
        <v>57</v>
      </c>
      <c r="T5" s="28" t="s">
        <v>58</v>
      </c>
      <c r="U5" s="28" t="s">
        <v>59</v>
      </c>
      <c r="V5" s="28" t="s">
        <v>60</v>
      </c>
    </row>
    <row r="6" spans="1:22">
      <c r="A6" s="11"/>
      <c r="B6" s="11"/>
      <c r="C6" s="19"/>
      <c r="D6" s="17"/>
      <c r="E6" s="21"/>
      <c r="F6" s="22" t="str">
        <f t="shared" ref="F6:F37" si="0">IF(E6="","",IF(E6/15&gt;=0.9,"Excelente",IF(E6/15&gt;=0.75,"Bueno",IF(E6/15&gt;=0.6,"Suficiente","Insuficiente"))))</f>
        <v/>
      </c>
      <c r="G6" s="21"/>
      <c r="H6" s="22" t="str">
        <f t="shared" ref="H6:H37" si="1">IF(G6="","",IF(G6/25&gt;=0.9,"Excelente",IF(G6/25&gt;=0.75,"Bueno",IF(G6/25&gt;=0.6,"Suficiente","Insuficiente"))))</f>
        <v/>
      </c>
      <c r="I6" s="21"/>
      <c r="J6" s="22" t="str">
        <f t="shared" ref="J6:J37" si="2">IF(I6="","",IF(I6/25&gt;=0.9,"Excelente",IF(I6/25&gt;=0.75,"Bueno",IF(I6/25&gt;=0.6,"Suficiente","Insuficiente"))))</f>
        <v/>
      </c>
      <c r="K6" s="21"/>
      <c r="L6" s="22" t="str">
        <f t="shared" ref="L6:L37" si="3">IF(K6="","",IF(K6/20&gt;=0.9,"Excelente",IF(K6/20&gt;=0.75,"Bueno",IF(K6/20&gt;=0.6,"Suficiente","Insuficiente"))))</f>
        <v/>
      </c>
      <c r="M6" s="21"/>
      <c r="N6" s="22" t="str">
        <f t="shared" ref="N6:N37" si="4">IF(M6="","",IF(M6/15&gt;=0.9,"Excelente",IF(M6/15&gt;=0.75,"Bueno",IF(M6/15&gt;=0.6,"Suficiente","Insuficiente"))))</f>
        <v/>
      </c>
      <c r="O6" s="22" t="str">
        <f t="shared" ref="O6:O37" si="5">IF(COUNT(E6,G6,I6,K6,M6)&lt;5,"",SUM(E6,G6,I6,K6,M6))</f>
        <v/>
      </c>
      <c r="P6" s="11"/>
      <c r="Q6" s="17"/>
      <c r="R6" s="11"/>
      <c r="S6" s="17"/>
      <c r="T6" s="15" t="str">
        <f t="shared" ref="T6:T37" si="6">IF(A6="","",IF(OR(D6="Sí",Q6="Sí",S6&lt;&gt;"Finalizada"),"No","Sí"))</f>
        <v/>
      </c>
      <c r="U6" s="11"/>
      <c r="V6" s="11"/>
    </row>
    <row r="7" spans="1:22">
      <c r="A7" s="11"/>
      <c r="B7" s="11"/>
      <c r="C7" s="19"/>
      <c r="D7" s="17"/>
      <c r="E7" s="21"/>
      <c r="F7" s="22" t="str">
        <f t="shared" si="0"/>
        <v/>
      </c>
      <c r="G7" s="21"/>
      <c r="H7" s="22" t="str">
        <f t="shared" si="1"/>
        <v/>
      </c>
      <c r="I7" s="21"/>
      <c r="J7" s="22" t="str">
        <f t="shared" si="2"/>
        <v/>
      </c>
      <c r="K7" s="21"/>
      <c r="L7" s="22" t="str">
        <f t="shared" si="3"/>
        <v/>
      </c>
      <c r="M7" s="21"/>
      <c r="N7" s="22" t="str">
        <f t="shared" si="4"/>
        <v/>
      </c>
      <c r="O7" s="22" t="str">
        <f t="shared" si="5"/>
        <v/>
      </c>
      <c r="P7" s="11"/>
      <c r="Q7" s="17"/>
      <c r="R7" s="11"/>
      <c r="S7" s="17"/>
      <c r="T7" s="15" t="str">
        <f t="shared" si="6"/>
        <v/>
      </c>
      <c r="U7" s="11"/>
      <c r="V7" s="11"/>
    </row>
    <row r="8" spans="1:22">
      <c r="A8" s="11"/>
      <c r="B8" s="11"/>
      <c r="C8" s="19"/>
      <c r="D8" s="17"/>
      <c r="E8" s="21"/>
      <c r="F8" s="22" t="str">
        <f t="shared" si="0"/>
        <v/>
      </c>
      <c r="G8" s="21"/>
      <c r="H8" s="22" t="str">
        <f t="shared" si="1"/>
        <v/>
      </c>
      <c r="I8" s="21"/>
      <c r="J8" s="22" t="str">
        <f t="shared" si="2"/>
        <v/>
      </c>
      <c r="K8" s="21"/>
      <c r="L8" s="22" t="str">
        <f t="shared" si="3"/>
        <v/>
      </c>
      <c r="M8" s="21"/>
      <c r="N8" s="22" t="str">
        <f t="shared" si="4"/>
        <v/>
      </c>
      <c r="O8" s="22" t="str">
        <f t="shared" si="5"/>
        <v/>
      </c>
      <c r="P8" s="11"/>
      <c r="Q8" s="17"/>
      <c r="R8" s="11"/>
      <c r="S8" s="17"/>
      <c r="T8" s="15" t="str">
        <f t="shared" si="6"/>
        <v/>
      </c>
      <c r="U8" s="11"/>
      <c r="V8" s="11"/>
    </row>
    <row r="9" spans="1:22">
      <c r="A9" s="11"/>
      <c r="B9" s="11"/>
      <c r="C9" s="19"/>
      <c r="D9" s="17"/>
      <c r="E9" s="21"/>
      <c r="F9" s="22" t="str">
        <f t="shared" si="0"/>
        <v/>
      </c>
      <c r="G9" s="21"/>
      <c r="H9" s="22" t="str">
        <f t="shared" si="1"/>
        <v/>
      </c>
      <c r="I9" s="21"/>
      <c r="J9" s="22" t="str">
        <f t="shared" si="2"/>
        <v/>
      </c>
      <c r="K9" s="21"/>
      <c r="L9" s="22" t="str">
        <f t="shared" si="3"/>
        <v/>
      </c>
      <c r="M9" s="21"/>
      <c r="N9" s="22" t="str">
        <f t="shared" si="4"/>
        <v/>
      </c>
      <c r="O9" s="22" t="str">
        <f t="shared" si="5"/>
        <v/>
      </c>
      <c r="P9" s="11"/>
      <c r="Q9" s="17"/>
      <c r="R9" s="11"/>
      <c r="S9" s="17"/>
      <c r="T9" s="15" t="str">
        <f t="shared" si="6"/>
        <v/>
      </c>
      <c r="U9" s="11"/>
      <c r="V9" s="11"/>
    </row>
    <row r="10" spans="1:22">
      <c r="A10" s="11"/>
      <c r="B10" s="11"/>
      <c r="C10" s="19"/>
      <c r="D10" s="17"/>
      <c r="E10" s="21"/>
      <c r="F10" s="22" t="str">
        <f t="shared" si="0"/>
        <v/>
      </c>
      <c r="G10" s="21"/>
      <c r="H10" s="22" t="str">
        <f t="shared" si="1"/>
        <v/>
      </c>
      <c r="I10" s="21"/>
      <c r="J10" s="22" t="str">
        <f t="shared" si="2"/>
        <v/>
      </c>
      <c r="K10" s="21"/>
      <c r="L10" s="22" t="str">
        <f t="shared" si="3"/>
        <v/>
      </c>
      <c r="M10" s="21"/>
      <c r="N10" s="22" t="str">
        <f t="shared" si="4"/>
        <v/>
      </c>
      <c r="O10" s="22" t="str">
        <f t="shared" si="5"/>
        <v/>
      </c>
      <c r="P10" s="11"/>
      <c r="Q10" s="17"/>
      <c r="R10" s="11"/>
      <c r="S10" s="17"/>
      <c r="T10" s="15" t="str">
        <f t="shared" si="6"/>
        <v/>
      </c>
      <c r="U10" s="11"/>
      <c r="V10" s="11"/>
    </row>
    <row r="11" spans="1:22">
      <c r="A11" s="11"/>
      <c r="B11" s="11"/>
      <c r="C11" s="19"/>
      <c r="D11" s="17"/>
      <c r="E11" s="21"/>
      <c r="F11" s="22" t="str">
        <f t="shared" si="0"/>
        <v/>
      </c>
      <c r="G11" s="21"/>
      <c r="H11" s="22" t="str">
        <f t="shared" si="1"/>
        <v/>
      </c>
      <c r="I11" s="21"/>
      <c r="J11" s="22" t="str">
        <f t="shared" si="2"/>
        <v/>
      </c>
      <c r="K11" s="21"/>
      <c r="L11" s="22" t="str">
        <f t="shared" si="3"/>
        <v/>
      </c>
      <c r="M11" s="21"/>
      <c r="N11" s="22" t="str">
        <f t="shared" si="4"/>
        <v/>
      </c>
      <c r="O11" s="22" t="str">
        <f t="shared" si="5"/>
        <v/>
      </c>
      <c r="P11" s="11"/>
      <c r="Q11" s="17"/>
      <c r="R11" s="11"/>
      <c r="S11" s="17"/>
      <c r="T11" s="15" t="str">
        <f t="shared" si="6"/>
        <v/>
      </c>
      <c r="U11" s="11"/>
      <c r="V11" s="11"/>
    </row>
    <row r="12" spans="1:22">
      <c r="A12" s="11"/>
      <c r="B12" s="11"/>
      <c r="C12" s="19"/>
      <c r="D12" s="17"/>
      <c r="E12" s="21"/>
      <c r="F12" s="22" t="str">
        <f t="shared" si="0"/>
        <v/>
      </c>
      <c r="G12" s="21"/>
      <c r="H12" s="22" t="str">
        <f t="shared" si="1"/>
        <v/>
      </c>
      <c r="I12" s="21"/>
      <c r="J12" s="22" t="str">
        <f t="shared" si="2"/>
        <v/>
      </c>
      <c r="K12" s="21"/>
      <c r="L12" s="22" t="str">
        <f t="shared" si="3"/>
        <v/>
      </c>
      <c r="M12" s="21"/>
      <c r="N12" s="22" t="str">
        <f t="shared" si="4"/>
        <v/>
      </c>
      <c r="O12" s="22" t="str">
        <f t="shared" si="5"/>
        <v/>
      </c>
      <c r="P12" s="11"/>
      <c r="Q12" s="17"/>
      <c r="R12" s="11"/>
      <c r="S12" s="17"/>
      <c r="T12" s="15" t="str">
        <f t="shared" si="6"/>
        <v/>
      </c>
      <c r="U12" s="11"/>
      <c r="V12" s="11"/>
    </row>
    <row r="13" spans="1:22">
      <c r="A13" s="11"/>
      <c r="B13" s="11"/>
      <c r="C13" s="19"/>
      <c r="D13" s="17"/>
      <c r="E13" s="21"/>
      <c r="F13" s="22" t="str">
        <f t="shared" si="0"/>
        <v/>
      </c>
      <c r="G13" s="21"/>
      <c r="H13" s="22" t="str">
        <f t="shared" si="1"/>
        <v/>
      </c>
      <c r="I13" s="21"/>
      <c r="J13" s="22" t="str">
        <f t="shared" si="2"/>
        <v/>
      </c>
      <c r="K13" s="21"/>
      <c r="L13" s="22" t="str">
        <f t="shared" si="3"/>
        <v/>
      </c>
      <c r="M13" s="21"/>
      <c r="N13" s="22" t="str">
        <f t="shared" si="4"/>
        <v/>
      </c>
      <c r="O13" s="22" t="str">
        <f t="shared" si="5"/>
        <v/>
      </c>
      <c r="P13" s="11"/>
      <c r="Q13" s="17"/>
      <c r="R13" s="11"/>
      <c r="S13" s="17"/>
      <c r="T13" s="15" t="str">
        <f t="shared" si="6"/>
        <v/>
      </c>
      <c r="U13" s="11"/>
      <c r="V13" s="11"/>
    </row>
    <row r="14" spans="1:22">
      <c r="A14" s="11"/>
      <c r="B14" s="11"/>
      <c r="C14" s="19"/>
      <c r="D14" s="17"/>
      <c r="E14" s="21"/>
      <c r="F14" s="22" t="str">
        <f t="shared" si="0"/>
        <v/>
      </c>
      <c r="G14" s="21"/>
      <c r="H14" s="22" t="str">
        <f t="shared" si="1"/>
        <v/>
      </c>
      <c r="I14" s="21"/>
      <c r="J14" s="22" t="str">
        <f t="shared" si="2"/>
        <v/>
      </c>
      <c r="K14" s="21"/>
      <c r="L14" s="22" t="str">
        <f t="shared" si="3"/>
        <v/>
      </c>
      <c r="M14" s="21"/>
      <c r="N14" s="22" t="str">
        <f t="shared" si="4"/>
        <v/>
      </c>
      <c r="O14" s="22" t="str">
        <f t="shared" si="5"/>
        <v/>
      </c>
      <c r="P14" s="11"/>
      <c r="Q14" s="17"/>
      <c r="R14" s="11"/>
      <c r="S14" s="17"/>
      <c r="T14" s="15" t="str">
        <f t="shared" si="6"/>
        <v/>
      </c>
      <c r="U14" s="11"/>
      <c r="V14" s="11"/>
    </row>
    <row r="15" spans="1:22">
      <c r="A15" s="11"/>
      <c r="B15" s="11"/>
      <c r="C15" s="19"/>
      <c r="D15" s="17"/>
      <c r="E15" s="21"/>
      <c r="F15" s="22" t="str">
        <f t="shared" si="0"/>
        <v/>
      </c>
      <c r="G15" s="21"/>
      <c r="H15" s="22" t="str">
        <f t="shared" si="1"/>
        <v/>
      </c>
      <c r="I15" s="21"/>
      <c r="J15" s="22" t="str">
        <f t="shared" si="2"/>
        <v/>
      </c>
      <c r="K15" s="21"/>
      <c r="L15" s="22" t="str">
        <f t="shared" si="3"/>
        <v/>
      </c>
      <c r="M15" s="21"/>
      <c r="N15" s="22" t="str">
        <f t="shared" si="4"/>
        <v/>
      </c>
      <c r="O15" s="22" t="str">
        <f t="shared" si="5"/>
        <v/>
      </c>
      <c r="P15" s="11"/>
      <c r="Q15" s="17"/>
      <c r="R15" s="11"/>
      <c r="S15" s="17"/>
      <c r="T15" s="15" t="str">
        <f t="shared" si="6"/>
        <v/>
      </c>
      <c r="U15" s="11"/>
      <c r="V15" s="11"/>
    </row>
    <row r="16" spans="1:22">
      <c r="A16" s="11"/>
      <c r="B16" s="11"/>
      <c r="C16" s="19"/>
      <c r="D16" s="17"/>
      <c r="E16" s="21"/>
      <c r="F16" s="22" t="str">
        <f t="shared" si="0"/>
        <v/>
      </c>
      <c r="G16" s="21"/>
      <c r="H16" s="22" t="str">
        <f t="shared" si="1"/>
        <v/>
      </c>
      <c r="I16" s="21"/>
      <c r="J16" s="22" t="str">
        <f t="shared" si="2"/>
        <v/>
      </c>
      <c r="K16" s="21"/>
      <c r="L16" s="22" t="str">
        <f t="shared" si="3"/>
        <v/>
      </c>
      <c r="M16" s="21"/>
      <c r="N16" s="22" t="str">
        <f t="shared" si="4"/>
        <v/>
      </c>
      <c r="O16" s="22" t="str">
        <f t="shared" si="5"/>
        <v/>
      </c>
      <c r="P16" s="11"/>
      <c r="Q16" s="17"/>
      <c r="R16" s="11"/>
      <c r="S16" s="17"/>
      <c r="T16" s="15" t="str">
        <f t="shared" si="6"/>
        <v/>
      </c>
      <c r="U16" s="11"/>
      <c r="V16" s="11"/>
    </row>
    <row r="17" spans="1:22">
      <c r="A17" s="11"/>
      <c r="B17" s="11"/>
      <c r="C17" s="19"/>
      <c r="D17" s="17"/>
      <c r="E17" s="21"/>
      <c r="F17" s="22" t="str">
        <f t="shared" si="0"/>
        <v/>
      </c>
      <c r="G17" s="21"/>
      <c r="H17" s="22" t="str">
        <f t="shared" si="1"/>
        <v/>
      </c>
      <c r="I17" s="21"/>
      <c r="J17" s="22" t="str">
        <f t="shared" si="2"/>
        <v/>
      </c>
      <c r="K17" s="21"/>
      <c r="L17" s="22" t="str">
        <f t="shared" si="3"/>
        <v/>
      </c>
      <c r="M17" s="21"/>
      <c r="N17" s="22" t="str">
        <f t="shared" si="4"/>
        <v/>
      </c>
      <c r="O17" s="22" t="str">
        <f t="shared" si="5"/>
        <v/>
      </c>
      <c r="P17" s="11"/>
      <c r="Q17" s="17"/>
      <c r="R17" s="11"/>
      <c r="S17" s="17"/>
      <c r="T17" s="15" t="str">
        <f t="shared" si="6"/>
        <v/>
      </c>
      <c r="U17" s="11"/>
      <c r="V17" s="11"/>
    </row>
    <row r="18" spans="1:22">
      <c r="A18" s="11"/>
      <c r="B18" s="11"/>
      <c r="C18" s="19"/>
      <c r="D18" s="17"/>
      <c r="E18" s="21"/>
      <c r="F18" s="22" t="str">
        <f t="shared" si="0"/>
        <v/>
      </c>
      <c r="G18" s="21"/>
      <c r="H18" s="22" t="str">
        <f t="shared" si="1"/>
        <v/>
      </c>
      <c r="I18" s="21"/>
      <c r="J18" s="22" t="str">
        <f t="shared" si="2"/>
        <v/>
      </c>
      <c r="K18" s="21"/>
      <c r="L18" s="22" t="str">
        <f t="shared" si="3"/>
        <v/>
      </c>
      <c r="M18" s="21"/>
      <c r="N18" s="22" t="str">
        <f t="shared" si="4"/>
        <v/>
      </c>
      <c r="O18" s="22" t="str">
        <f t="shared" si="5"/>
        <v/>
      </c>
      <c r="P18" s="11"/>
      <c r="Q18" s="17"/>
      <c r="R18" s="11"/>
      <c r="S18" s="17"/>
      <c r="T18" s="15" t="str">
        <f t="shared" si="6"/>
        <v/>
      </c>
      <c r="U18" s="11"/>
      <c r="V18" s="11"/>
    </row>
    <row r="19" spans="1:22">
      <c r="A19" s="11"/>
      <c r="B19" s="11"/>
      <c r="C19" s="19"/>
      <c r="D19" s="17"/>
      <c r="E19" s="21"/>
      <c r="F19" s="22" t="str">
        <f t="shared" si="0"/>
        <v/>
      </c>
      <c r="G19" s="21"/>
      <c r="H19" s="22" t="str">
        <f t="shared" si="1"/>
        <v/>
      </c>
      <c r="I19" s="21"/>
      <c r="J19" s="22" t="str">
        <f t="shared" si="2"/>
        <v/>
      </c>
      <c r="K19" s="21"/>
      <c r="L19" s="22" t="str">
        <f t="shared" si="3"/>
        <v/>
      </c>
      <c r="M19" s="21"/>
      <c r="N19" s="22" t="str">
        <f t="shared" si="4"/>
        <v/>
      </c>
      <c r="O19" s="22" t="str">
        <f t="shared" si="5"/>
        <v/>
      </c>
      <c r="P19" s="11"/>
      <c r="Q19" s="17"/>
      <c r="R19" s="11"/>
      <c r="S19" s="17"/>
      <c r="T19" s="15" t="str">
        <f t="shared" si="6"/>
        <v/>
      </c>
      <c r="U19" s="11"/>
      <c r="V19" s="11"/>
    </row>
    <row r="20" spans="1:22">
      <c r="A20" s="11"/>
      <c r="B20" s="11"/>
      <c r="C20" s="19"/>
      <c r="D20" s="17"/>
      <c r="E20" s="21"/>
      <c r="F20" s="22" t="str">
        <f t="shared" si="0"/>
        <v/>
      </c>
      <c r="G20" s="21"/>
      <c r="H20" s="22" t="str">
        <f t="shared" si="1"/>
        <v/>
      </c>
      <c r="I20" s="21"/>
      <c r="J20" s="22" t="str">
        <f t="shared" si="2"/>
        <v/>
      </c>
      <c r="K20" s="21"/>
      <c r="L20" s="22" t="str">
        <f t="shared" si="3"/>
        <v/>
      </c>
      <c r="M20" s="21"/>
      <c r="N20" s="22" t="str">
        <f t="shared" si="4"/>
        <v/>
      </c>
      <c r="O20" s="22" t="str">
        <f t="shared" si="5"/>
        <v/>
      </c>
      <c r="P20" s="11"/>
      <c r="Q20" s="17"/>
      <c r="R20" s="11"/>
      <c r="S20" s="17"/>
      <c r="T20" s="15" t="str">
        <f t="shared" si="6"/>
        <v/>
      </c>
      <c r="U20" s="11"/>
      <c r="V20" s="11"/>
    </row>
    <row r="21" spans="1:22">
      <c r="A21" s="11"/>
      <c r="B21" s="11"/>
      <c r="C21" s="19"/>
      <c r="D21" s="17"/>
      <c r="E21" s="21"/>
      <c r="F21" s="22" t="str">
        <f t="shared" si="0"/>
        <v/>
      </c>
      <c r="G21" s="21"/>
      <c r="H21" s="22" t="str">
        <f t="shared" si="1"/>
        <v/>
      </c>
      <c r="I21" s="21"/>
      <c r="J21" s="22" t="str">
        <f t="shared" si="2"/>
        <v/>
      </c>
      <c r="K21" s="21"/>
      <c r="L21" s="22" t="str">
        <f t="shared" si="3"/>
        <v/>
      </c>
      <c r="M21" s="21"/>
      <c r="N21" s="22" t="str">
        <f t="shared" si="4"/>
        <v/>
      </c>
      <c r="O21" s="22" t="str">
        <f t="shared" si="5"/>
        <v/>
      </c>
      <c r="P21" s="11"/>
      <c r="Q21" s="17"/>
      <c r="R21" s="11"/>
      <c r="S21" s="17"/>
      <c r="T21" s="15" t="str">
        <f t="shared" si="6"/>
        <v/>
      </c>
      <c r="U21" s="11"/>
      <c r="V21" s="11"/>
    </row>
    <row r="22" spans="1:22">
      <c r="A22" s="11"/>
      <c r="B22" s="11"/>
      <c r="C22" s="19"/>
      <c r="D22" s="17"/>
      <c r="E22" s="21"/>
      <c r="F22" s="22" t="str">
        <f t="shared" si="0"/>
        <v/>
      </c>
      <c r="G22" s="21"/>
      <c r="H22" s="22" t="str">
        <f t="shared" si="1"/>
        <v/>
      </c>
      <c r="I22" s="21"/>
      <c r="J22" s="22" t="str">
        <f t="shared" si="2"/>
        <v/>
      </c>
      <c r="K22" s="21"/>
      <c r="L22" s="22" t="str">
        <f t="shared" si="3"/>
        <v/>
      </c>
      <c r="M22" s="21"/>
      <c r="N22" s="22" t="str">
        <f t="shared" si="4"/>
        <v/>
      </c>
      <c r="O22" s="22" t="str">
        <f t="shared" si="5"/>
        <v/>
      </c>
      <c r="P22" s="11"/>
      <c r="Q22" s="17"/>
      <c r="R22" s="11"/>
      <c r="S22" s="17"/>
      <c r="T22" s="15" t="str">
        <f t="shared" si="6"/>
        <v/>
      </c>
      <c r="U22" s="11"/>
      <c r="V22" s="11"/>
    </row>
    <row r="23" spans="1:22">
      <c r="A23" s="11"/>
      <c r="B23" s="11"/>
      <c r="C23" s="19"/>
      <c r="D23" s="17"/>
      <c r="E23" s="21"/>
      <c r="F23" s="22" t="str">
        <f t="shared" si="0"/>
        <v/>
      </c>
      <c r="G23" s="21"/>
      <c r="H23" s="22" t="str">
        <f t="shared" si="1"/>
        <v/>
      </c>
      <c r="I23" s="21"/>
      <c r="J23" s="22" t="str">
        <f t="shared" si="2"/>
        <v/>
      </c>
      <c r="K23" s="21"/>
      <c r="L23" s="22" t="str">
        <f t="shared" si="3"/>
        <v/>
      </c>
      <c r="M23" s="21"/>
      <c r="N23" s="22" t="str">
        <f t="shared" si="4"/>
        <v/>
      </c>
      <c r="O23" s="22" t="str">
        <f t="shared" si="5"/>
        <v/>
      </c>
      <c r="P23" s="11"/>
      <c r="Q23" s="17"/>
      <c r="R23" s="11"/>
      <c r="S23" s="17"/>
      <c r="T23" s="15" t="str">
        <f t="shared" si="6"/>
        <v/>
      </c>
      <c r="U23" s="11"/>
      <c r="V23" s="11"/>
    </row>
    <row r="24" spans="1:22">
      <c r="A24" s="11"/>
      <c r="B24" s="11"/>
      <c r="C24" s="19"/>
      <c r="D24" s="17"/>
      <c r="E24" s="21"/>
      <c r="F24" s="22" t="str">
        <f t="shared" si="0"/>
        <v/>
      </c>
      <c r="G24" s="21"/>
      <c r="H24" s="22" t="str">
        <f t="shared" si="1"/>
        <v/>
      </c>
      <c r="I24" s="21"/>
      <c r="J24" s="22" t="str">
        <f t="shared" si="2"/>
        <v/>
      </c>
      <c r="K24" s="21"/>
      <c r="L24" s="22" t="str">
        <f t="shared" si="3"/>
        <v/>
      </c>
      <c r="M24" s="21"/>
      <c r="N24" s="22" t="str">
        <f t="shared" si="4"/>
        <v/>
      </c>
      <c r="O24" s="22" t="str">
        <f t="shared" si="5"/>
        <v/>
      </c>
      <c r="P24" s="11"/>
      <c r="Q24" s="17"/>
      <c r="R24" s="11"/>
      <c r="S24" s="17"/>
      <c r="T24" s="15" t="str">
        <f t="shared" si="6"/>
        <v/>
      </c>
      <c r="U24" s="11"/>
      <c r="V24" s="11"/>
    </row>
    <row r="25" spans="1:22">
      <c r="A25" s="11"/>
      <c r="B25" s="11"/>
      <c r="C25" s="19"/>
      <c r="D25" s="17"/>
      <c r="E25" s="21"/>
      <c r="F25" s="22" t="str">
        <f t="shared" si="0"/>
        <v/>
      </c>
      <c r="G25" s="21"/>
      <c r="H25" s="22" t="str">
        <f t="shared" si="1"/>
        <v/>
      </c>
      <c r="I25" s="21"/>
      <c r="J25" s="22" t="str">
        <f t="shared" si="2"/>
        <v/>
      </c>
      <c r="K25" s="21"/>
      <c r="L25" s="22" t="str">
        <f t="shared" si="3"/>
        <v/>
      </c>
      <c r="M25" s="21"/>
      <c r="N25" s="22" t="str">
        <f t="shared" si="4"/>
        <v/>
      </c>
      <c r="O25" s="22" t="str">
        <f t="shared" si="5"/>
        <v/>
      </c>
      <c r="P25" s="11"/>
      <c r="Q25" s="17"/>
      <c r="R25" s="11"/>
      <c r="S25" s="17"/>
      <c r="T25" s="15" t="str">
        <f t="shared" si="6"/>
        <v/>
      </c>
      <c r="U25" s="11"/>
      <c r="V25" s="11"/>
    </row>
    <row r="26" spans="1:22">
      <c r="A26" s="11"/>
      <c r="B26" s="11"/>
      <c r="C26" s="19"/>
      <c r="D26" s="17"/>
      <c r="E26" s="21"/>
      <c r="F26" s="22" t="str">
        <f t="shared" si="0"/>
        <v/>
      </c>
      <c r="G26" s="21"/>
      <c r="H26" s="22" t="str">
        <f t="shared" si="1"/>
        <v/>
      </c>
      <c r="I26" s="21"/>
      <c r="J26" s="22" t="str">
        <f t="shared" si="2"/>
        <v/>
      </c>
      <c r="K26" s="21"/>
      <c r="L26" s="22" t="str">
        <f t="shared" si="3"/>
        <v/>
      </c>
      <c r="M26" s="21"/>
      <c r="N26" s="22" t="str">
        <f t="shared" si="4"/>
        <v/>
      </c>
      <c r="O26" s="22" t="str">
        <f t="shared" si="5"/>
        <v/>
      </c>
      <c r="P26" s="11"/>
      <c r="Q26" s="17"/>
      <c r="R26" s="11"/>
      <c r="S26" s="17"/>
      <c r="T26" s="15" t="str">
        <f t="shared" si="6"/>
        <v/>
      </c>
      <c r="U26" s="11"/>
      <c r="V26" s="11"/>
    </row>
    <row r="27" spans="1:22">
      <c r="A27" s="11"/>
      <c r="B27" s="11"/>
      <c r="C27" s="19"/>
      <c r="D27" s="17"/>
      <c r="E27" s="21"/>
      <c r="F27" s="22" t="str">
        <f t="shared" si="0"/>
        <v/>
      </c>
      <c r="G27" s="21"/>
      <c r="H27" s="22" t="str">
        <f t="shared" si="1"/>
        <v/>
      </c>
      <c r="I27" s="21"/>
      <c r="J27" s="22" t="str">
        <f t="shared" si="2"/>
        <v/>
      </c>
      <c r="K27" s="21"/>
      <c r="L27" s="22" t="str">
        <f t="shared" si="3"/>
        <v/>
      </c>
      <c r="M27" s="21"/>
      <c r="N27" s="22" t="str">
        <f t="shared" si="4"/>
        <v/>
      </c>
      <c r="O27" s="22" t="str">
        <f t="shared" si="5"/>
        <v/>
      </c>
      <c r="P27" s="11"/>
      <c r="Q27" s="17"/>
      <c r="R27" s="11"/>
      <c r="S27" s="17"/>
      <c r="T27" s="15" t="str">
        <f t="shared" si="6"/>
        <v/>
      </c>
      <c r="U27" s="11"/>
      <c r="V27" s="11"/>
    </row>
    <row r="28" spans="1:22">
      <c r="A28" s="11"/>
      <c r="B28" s="11"/>
      <c r="C28" s="19"/>
      <c r="D28" s="17"/>
      <c r="E28" s="21"/>
      <c r="F28" s="22" t="str">
        <f t="shared" si="0"/>
        <v/>
      </c>
      <c r="G28" s="21"/>
      <c r="H28" s="22" t="str">
        <f t="shared" si="1"/>
        <v/>
      </c>
      <c r="I28" s="21"/>
      <c r="J28" s="22" t="str">
        <f t="shared" si="2"/>
        <v/>
      </c>
      <c r="K28" s="21"/>
      <c r="L28" s="22" t="str">
        <f t="shared" si="3"/>
        <v/>
      </c>
      <c r="M28" s="21"/>
      <c r="N28" s="22" t="str">
        <f t="shared" si="4"/>
        <v/>
      </c>
      <c r="O28" s="22" t="str">
        <f t="shared" si="5"/>
        <v/>
      </c>
      <c r="P28" s="11"/>
      <c r="Q28" s="17"/>
      <c r="R28" s="11"/>
      <c r="S28" s="17"/>
      <c r="T28" s="15" t="str">
        <f t="shared" si="6"/>
        <v/>
      </c>
      <c r="U28" s="11"/>
      <c r="V28" s="11"/>
    </row>
    <row r="29" spans="1:22">
      <c r="A29" s="11"/>
      <c r="B29" s="11"/>
      <c r="C29" s="19"/>
      <c r="D29" s="17"/>
      <c r="E29" s="21"/>
      <c r="F29" s="22" t="str">
        <f t="shared" si="0"/>
        <v/>
      </c>
      <c r="G29" s="21"/>
      <c r="H29" s="22" t="str">
        <f t="shared" si="1"/>
        <v/>
      </c>
      <c r="I29" s="21"/>
      <c r="J29" s="22" t="str">
        <f t="shared" si="2"/>
        <v/>
      </c>
      <c r="K29" s="21"/>
      <c r="L29" s="22" t="str">
        <f t="shared" si="3"/>
        <v/>
      </c>
      <c r="M29" s="21"/>
      <c r="N29" s="22" t="str">
        <f t="shared" si="4"/>
        <v/>
      </c>
      <c r="O29" s="22" t="str">
        <f t="shared" si="5"/>
        <v/>
      </c>
      <c r="P29" s="11"/>
      <c r="Q29" s="17"/>
      <c r="R29" s="11"/>
      <c r="S29" s="17"/>
      <c r="T29" s="15" t="str">
        <f t="shared" si="6"/>
        <v/>
      </c>
      <c r="U29" s="11"/>
      <c r="V29" s="11"/>
    </row>
    <row r="30" spans="1:22">
      <c r="A30" s="11"/>
      <c r="B30" s="11"/>
      <c r="C30" s="19"/>
      <c r="D30" s="17"/>
      <c r="E30" s="21"/>
      <c r="F30" s="22" t="str">
        <f t="shared" si="0"/>
        <v/>
      </c>
      <c r="G30" s="21"/>
      <c r="H30" s="22" t="str">
        <f t="shared" si="1"/>
        <v/>
      </c>
      <c r="I30" s="21"/>
      <c r="J30" s="22" t="str">
        <f t="shared" si="2"/>
        <v/>
      </c>
      <c r="K30" s="21"/>
      <c r="L30" s="22" t="str">
        <f t="shared" si="3"/>
        <v/>
      </c>
      <c r="M30" s="21"/>
      <c r="N30" s="22" t="str">
        <f t="shared" si="4"/>
        <v/>
      </c>
      <c r="O30" s="22" t="str">
        <f t="shared" si="5"/>
        <v/>
      </c>
      <c r="P30" s="11"/>
      <c r="Q30" s="17"/>
      <c r="R30" s="11"/>
      <c r="S30" s="17"/>
      <c r="T30" s="15" t="str">
        <f t="shared" si="6"/>
        <v/>
      </c>
      <c r="U30" s="11"/>
      <c r="V30" s="11"/>
    </row>
    <row r="31" spans="1:22">
      <c r="A31" s="11"/>
      <c r="B31" s="11"/>
      <c r="C31" s="19"/>
      <c r="D31" s="17"/>
      <c r="E31" s="21"/>
      <c r="F31" s="22" t="str">
        <f t="shared" si="0"/>
        <v/>
      </c>
      <c r="G31" s="21"/>
      <c r="H31" s="22" t="str">
        <f t="shared" si="1"/>
        <v/>
      </c>
      <c r="I31" s="21"/>
      <c r="J31" s="22" t="str">
        <f t="shared" si="2"/>
        <v/>
      </c>
      <c r="K31" s="21"/>
      <c r="L31" s="22" t="str">
        <f t="shared" si="3"/>
        <v/>
      </c>
      <c r="M31" s="21"/>
      <c r="N31" s="22" t="str">
        <f t="shared" si="4"/>
        <v/>
      </c>
      <c r="O31" s="22" t="str">
        <f t="shared" si="5"/>
        <v/>
      </c>
      <c r="P31" s="11"/>
      <c r="Q31" s="17"/>
      <c r="R31" s="11"/>
      <c r="S31" s="17"/>
      <c r="T31" s="15" t="str">
        <f t="shared" si="6"/>
        <v/>
      </c>
      <c r="U31" s="11"/>
      <c r="V31" s="11"/>
    </row>
    <row r="32" spans="1:22">
      <c r="A32" s="11"/>
      <c r="B32" s="11"/>
      <c r="C32" s="19"/>
      <c r="D32" s="17"/>
      <c r="E32" s="21"/>
      <c r="F32" s="22" t="str">
        <f t="shared" si="0"/>
        <v/>
      </c>
      <c r="G32" s="21"/>
      <c r="H32" s="22" t="str">
        <f t="shared" si="1"/>
        <v/>
      </c>
      <c r="I32" s="21"/>
      <c r="J32" s="22" t="str">
        <f t="shared" si="2"/>
        <v/>
      </c>
      <c r="K32" s="21"/>
      <c r="L32" s="22" t="str">
        <f t="shared" si="3"/>
        <v/>
      </c>
      <c r="M32" s="21"/>
      <c r="N32" s="22" t="str">
        <f t="shared" si="4"/>
        <v/>
      </c>
      <c r="O32" s="22" t="str">
        <f t="shared" si="5"/>
        <v/>
      </c>
      <c r="P32" s="11"/>
      <c r="Q32" s="17"/>
      <c r="R32" s="11"/>
      <c r="S32" s="17"/>
      <c r="T32" s="15" t="str">
        <f t="shared" si="6"/>
        <v/>
      </c>
      <c r="U32" s="11"/>
      <c r="V32" s="11"/>
    </row>
    <row r="33" spans="1:22">
      <c r="A33" s="11"/>
      <c r="B33" s="11"/>
      <c r="C33" s="19"/>
      <c r="D33" s="17"/>
      <c r="E33" s="21"/>
      <c r="F33" s="22" t="str">
        <f t="shared" si="0"/>
        <v/>
      </c>
      <c r="G33" s="21"/>
      <c r="H33" s="22" t="str">
        <f t="shared" si="1"/>
        <v/>
      </c>
      <c r="I33" s="21"/>
      <c r="J33" s="22" t="str">
        <f t="shared" si="2"/>
        <v/>
      </c>
      <c r="K33" s="21"/>
      <c r="L33" s="22" t="str">
        <f t="shared" si="3"/>
        <v/>
      </c>
      <c r="M33" s="21"/>
      <c r="N33" s="22" t="str">
        <f t="shared" si="4"/>
        <v/>
      </c>
      <c r="O33" s="22" t="str">
        <f t="shared" si="5"/>
        <v/>
      </c>
      <c r="P33" s="11"/>
      <c r="Q33" s="17"/>
      <c r="R33" s="11"/>
      <c r="S33" s="17"/>
      <c r="T33" s="15" t="str">
        <f t="shared" si="6"/>
        <v/>
      </c>
      <c r="U33" s="11"/>
      <c r="V33" s="11"/>
    </row>
    <row r="34" spans="1:22">
      <c r="A34" s="11"/>
      <c r="B34" s="11"/>
      <c r="C34" s="19"/>
      <c r="D34" s="17"/>
      <c r="E34" s="21"/>
      <c r="F34" s="22" t="str">
        <f t="shared" si="0"/>
        <v/>
      </c>
      <c r="G34" s="21"/>
      <c r="H34" s="22" t="str">
        <f t="shared" si="1"/>
        <v/>
      </c>
      <c r="I34" s="21"/>
      <c r="J34" s="22" t="str">
        <f t="shared" si="2"/>
        <v/>
      </c>
      <c r="K34" s="21"/>
      <c r="L34" s="22" t="str">
        <f t="shared" si="3"/>
        <v/>
      </c>
      <c r="M34" s="21"/>
      <c r="N34" s="22" t="str">
        <f t="shared" si="4"/>
        <v/>
      </c>
      <c r="O34" s="22" t="str">
        <f t="shared" si="5"/>
        <v/>
      </c>
      <c r="P34" s="11"/>
      <c r="Q34" s="17"/>
      <c r="R34" s="11"/>
      <c r="S34" s="17"/>
      <c r="T34" s="15" t="str">
        <f t="shared" si="6"/>
        <v/>
      </c>
      <c r="U34" s="11"/>
      <c r="V34" s="11"/>
    </row>
    <row r="35" spans="1:22">
      <c r="A35" s="11"/>
      <c r="B35" s="11"/>
      <c r="C35" s="19"/>
      <c r="D35" s="17"/>
      <c r="E35" s="21"/>
      <c r="F35" s="22" t="str">
        <f t="shared" si="0"/>
        <v/>
      </c>
      <c r="G35" s="21"/>
      <c r="H35" s="22" t="str">
        <f t="shared" si="1"/>
        <v/>
      </c>
      <c r="I35" s="21"/>
      <c r="J35" s="22" t="str">
        <f t="shared" si="2"/>
        <v/>
      </c>
      <c r="K35" s="21"/>
      <c r="L35" s="22" t="str">
        <f t="shared" si="3"/>
        <v/>
      </c>
      <c r="M35" s="21"/>
      <c r="N35" s="22" t="str">
        <f t="shared" si="4"/>
        <v/>
      </c>
      <c r="O35" s="22" t="str">
        <f t="shared" si="5"/>
        <v/>
      </c>
      <c r="P35" s="11"/>
      <c r="Q35" s="17"/>
      <c r="R35" s="11"/>
      <c r="S35" s="17"/>
      <c r="T35" s="15" t="str">
        <f t="shared" si="6"/>
        <v/>
      </c>
      <c r="U35" s="11"/>
      <c r="V35" s="11"/>
    </row>
    <row r="36" spans="1:22">
      <c r="A36" s="11"/>
      <c r="B36" s="11"/>
      <c r="C36" s="19"/>
      <c r="D36" s="17"/>
      <c r="E36" s="21"/>
      <c r="F36" s="22" t="str">
        <f t="shared" si="0"/>
        <v/>
      </c>
      <c r="G36" s="21"/>
      <c r="H36" s="22" t="str">
        <f t="shared" si="1"/>
        <v/>
      </c>
      <c r="I36" s="21"/>
      <c r="J36" s="22" t="str">
        <f t="shared" si="2"/>
        <v/>
      </c>
      <c r="K36" s="21"/>
      <c r="L36" s="22" t="str">
        <f t="shared" si="3"/>
        <v/>
      </c>
      <c r="M36" s="21"/>
      <c r="N36" s="22" t="str">
        <f t="shared" si="4"/>
        <v/>
      </c>
      <c r="O36" s="22" t="str">
        <f t="shared" si="5"/>
        <v/>
      </c>
      <c r="P36" s="11"/>
      <c r="Q36" s="17"/>
      <c r="R36" s="11"/>
      <c r="S36" s="17"/>
      <c r="T36" s="15" t="str">
        <f t="shared" si="6"/>
        <v/>
      </c>
      <c r="U36" s="11"/>
      <c r="V36" s="11"/>
    </row>
    <row r="37" spans="1:22">
      <c r="A37" s="11"/>
      <c r="B37" s="11"/>
      <c r="C37" s="19"/>
      <c r="D37" s="17"/>
      <c r="E37" s="21"/>
      <c r="F37" s="22" t="str">
        <f t="shared" si="0"/>
        <v/>
      </c>
      <c r="G37" s="21"/>
      <c r="H37" s="22" t="str">
        <f t="shared" si="1"/>
        <v/>
      </c>
      <c r="I37" s="21"/>
      <c r="J37" s="22" t="str">
        <f t="shared" si="2"/>
        <v/>
      </c>
      <c r="K37" s="21"/>
      <c r="L37" s="22" t="str">
        <f t="shared" si="3"/>
        <v/>
      </c>
      <c r="M37" s="21"/>
      <c r="N37" s="22" t="str">
        <f t="shared" si="4"/>
        <v/>
      </c>
      <c r="O37" s="22" t="str">
        <f t="shared" si="5"/>
        <v/>
      </c>
      <c r="P37" s="11"/>
      <c r="Q37" s="17"/>
      <c r="R37" s="11"/>
      <c r="S37" s="17"/>
      <c r="T37" s="15" t="str">
        <f t="shared" si="6"/>
        <v/>
      </c>
      <c r="U37" s="11"/>
      <c r="V37" s="11"/>
    </row>
    <row r="38" spans="1:22">
      <c r="A38" s="11"/>
      <c r="B38" s="11"/>
      <c r="C38" s="19"/>
      <c r="D38" s="17"/>
      <c r="E38" s="21"/>
      <c r="F38" s="22" t="str">
        <f t="shared" ref="F38:F69" si="7">IF(E38="","",IF(E38/15&gt;=0.9,"Excelente",IF(E38/15&gt;=0.75,"Bueno",IF(E38/15&gt;=0.6,"Suficiente","Insuficiente"))))</f>
        <v/>
      </c>
      <c r="G38" s="21"/>
      <c r="H38" s="22" t="str">
        <f t="shared" ref="H38:H69" si="8">IF(G38="","",IF(G38/25&gt;=0.9,"Excelente",IF(G38/25&gt;=0.75,"Bueno",IF(G38/25&gt;=0.6,"Suficiente","Insuficiente"))))</f>
        <v/>
      </c>
      <c r="I38" s="21"/>
      <c r="J38" s="22" t="str">
        <f t="shared" ref="J38:J69" si="9">IF(I38="","",IF(I38/25&gt;=0.9,"Excelente",IF(I38/25&gt;=0.75,"Bueno",IF(I38/25&gt;=0.6,"Suficiente","Insuficiente"))))</f>
        <v/>
      </c>
      <c r="K38" s="21"/>
      <c r="L38" s="22" t="str">
        <f t="shared" ref="L38:L69" si="10">IF(K38="","",IF(K38/20&gt;=0.9,"Excelente",IF(K38/20&gt;=0.75,"Bueno",IF(K38/20&gt;=0.6,"Suficiente","Insuficiente"))))</f>
        <v/>
      </c>
      <c r="M38" s="21"/>
      <c r="N38" s="22" t="str">
        <f t="shared" ref="N38:N69" si="11">IF(M38="","",IF(M38/15&gt;=0.9,"Excelente",IF(M38/15&gt;=0.75,"Bueno",IF(M38/15&gt;=0.6,"Suficiente","Insuficiente"))))</f>
        <v/>
      </c>
      <c r="O38" s="22" t="str">
        <f t="shared" ref="O38:O69" si="12">IF(COUNT(E38,G38,I38,K38,M38)&lt;5,"",SUM(E38,G38,I38,K38,M38))</f>
        <v/>
      </c>
      <c r="P38" s="11"/>
      <c r="Q38" s="17"/>
      <c r="R38" s="11"/>
      <c r="S38" s="17"/>
      <c r="T38" s="15" t="str">
        <f t="shared" ref="T38:T69" si="13">IF(A38="","",IF(OR(D38="Sí",Q38="Sí",S38&lt;&gt;"Finalizada"),"No","Sí"))</f>
        <v/>
      </c>
      <c r="U38" s="11"/>
      <c r="V38" s="11"/>
    </row>
    <row r="39" spans="1:22">
      <c r="A39" s="11"/>
      <c r="B39" s="11"/>
      <c r="C39" s="19"/>
      <c r="D39" s="17"/>
      <c r="E39" s="21"/>
      <c r="F39" s="22" t="str">
        <f t="shared" si="7"/>
        <v/>
      </c>
      <c r="G39" s="21"/>
      <c r="H39" s="22" t="str">
        <f t="shared" si="8"/>
        <v/>
      </c>
      <c r="I39" s="21"/>
      <c r="J39" s="22" t="str">
        <f t="shared" si="9"/>
        <v/>
      </c>
      <c r="K39" s="21"/>
      <c r="L39" s="22" t="str">
        <f t="shared" si="10"/>
        <v/>
      </c>
      <c r="M39" s="21"/>
      <c r="N39" s="22" t="str">
        <f t="shared" si="11"/>
        <v/>
      </c>
      <c r="O39" s="22" t="str">
        <f t="shared" si="12"/>
        <v/>
      </c>
      <c r="P39" s="11"/>
      <c r="Q39" s="17"/>
      <c r="R39" s="11"/>
      <c r="S39" s="17"/>
      <c r="T39" s="15" t="str">
        <f t="shared" si="13"/>
        <v/>
      </c>
      <c r="U39" s="11"/>
      <c r="V39" s="11"/>
    </row>
    <row r="40" spans="1:22">
      <c r="A40" s="11"/>
      <c r="B40" s="11"/>
      <c r="C40" s="19"/>
      <c r="D40" s="17"/>
      <c r="E40" s="21"/>
      <c r="F40" s="22" t="str">
        <f t="shared" si="7"/>
        <v/>
      </c>
      <c r="G40" s="21"/>
      <c r="H40" s="22" t="str">
        <f t="shared" si="8"/>
        <v/>
      </c>
      <c r="I40" s="21"/>
      <c r="J40" s="22" t="str">
        <f t="shared" si="9"/>
        <v/>
      </c>
      <c r="K40" s="21"/>
      <c r="L40" s="22" t="str">
        <f t="shared" si="10"/>
        <v/>
      </c>
      <c r="M40" s="21"/>
      <c r="N40" s="22" t="str">
        <f t="shared" si="11"/>
        <v/>
      </c>
      <c r="O40" s="22" t="str">
        <f t="shared" si="12"/>
        <v/>
      </c>
      <c r="P40" s="11"/>
      <c r="Q40" s="17"/>
      <c r="R40" s="11"/>
      <c r="S40" s="17"/>
      <c r="T40" s="15" t="str">
        <f t="shared" si="13"/>
        <v/>
      </c>
      <c r="U40" s="11"/>
      <c r="V40" s="11"/>
    </row>
    <row r="41" spans="1:22">
      <c r="A41" s="11"/>
      <c r="B41" s="11"/>
      <c r="C41" s="19"/>
      <c r="D41" s="17"/>
      <c r="E41" s="21"/>
      <c r="F41" s="22" t="str">
        <f t="shared" si="7"/>
        <v/>
      </c>
      <c r="G41" s="21"/>
      <c r="H41" s="22" t="str">
        <f t="shared" si="8"/>
        <v/>
      </c>
      <c r="I41" s="21"/>
      <c r="J41" s="22" t="str">
        <f t="shared" si="9"/>
        <v/>
      </c>
      <c r="K41" s="21"/>
      <c r="L41" s="22" t="str">
        <f t="shared" si="10"/>
        <v/>
      </c>
      <c r="M41" s="21"/>
      <c r="N41" s="22" t="str">
        <f t="shared" si="11"/>
        <v/>
      </c>
      <c r="O41" s="22" t="str">
        <f t="shared" si="12"/>
        <v/>
      </c>
      <c r="P41" s="11"/>
      <c r="Q41" s="17"/>
      <c r="R41" s="11"/>
      <c r="S41" s="17"/>
      <c r="T41" s="15" t="str">
        <f t="shared" si="13"/>
        <v/>
      </c>
      <c r="U41" s="11"/>
      <c r="V41" s="11"/>
    </row>
    <row r="42" spans="1:22">
      <c r="A42" s="11"/>
      <c r="B42" s="11"/>
      <c r="C42" s="19"/>
      <c r="D42" s="17"/>
      <c r="E42" s="21"/>
      <c r="F42" s="22" t="str">
        <f t="shared" si="7"/>
        <v/>
      </c>
      <c r="G42" s="21"/>
      <c r="H42" s="22" t="str">
        <f t="shared" si="8"/>
        <v/>
      </c>
      <c r="I42" s="21"/>
      <c r="J42" s="22" t="str">
        <f t="shared" si="9"/>
        <v/>
      </c>
      <c r="K42" s="21"/>
      <c r="L42" s="22" t="str">
        <f t="shared" si="10"/>
        <v/>
      </c>
      <c r="M42" s="21"/>
      <c r="N42" s="22" t="str">
        <f t="shared" si="11"/>
        <v/>
      </c>
      <c r="O42" s="22" t="str">
        <f t="shared" si="12"/>
        <v/>
      </c>
      <c r="P42" s="11"/>
      <c r="Q42" s="17"/>
      <c r="R42" s="11"/>
      <c r="S42" s="17"/>
      <c r="T42" s="15" t="str">
        <f t="shared" si="13"/>
        <v/>
      </c>
      <c r="U42" s="11"/>
      <c r="V42" s="11"/>
    </row>
    <row r="43" spans="1:22">
      <c r="A43" s="11"/>
      <c r="B43" s="11"/>
      <c r="C43" s="19"/>
      <c r="D43" s="17"/>
      <c r="E43" s="21"/>
      <c r="F43" s="22" t="str">
        <f t="shared" si="7"/>
        <v/>
      </c>
      <c r="G43" s="21"/>
      <c r="H43" s="22" t="str">
        <f t="shared" si="8"/>
        <v/>
      </c>
      <c r="I43" s="21"/>
      <c r="J43" s="22" t="str">
        <f t="shared" si="9"/>
        <v/>
      </c>
      <c r="K43" s="21"/>
      <c r="L43" s="22" t="str">
        <f t="shared" si="10"/>
        <v/>
      </c>
      <c r="M43" s="21"/>
      <c r="N43" s="22" t="str">
        <f t="shared" si="11"/>
        <v/>
      </c>
      <c r="O43" s="22" t="str">
        <f t="shared" si="12"/>
        <v/>
      </c>
      <c r="P43" s="11"/>
      <c r="Q43" s="17"/>
      <c r="R43" s="11"/>
      <c r="S43" s="17"/>
      <c r="T43" s="15" t="str">
        <f t="shared" si="13"/>
        <v/>
      </c>
      <c r="U43" s="11"/>
      <c r="V43" s="11"/>
    </row>
    <row r="44" spans="1:22">
      <c r="A44" s="11"/>
      <c r="B44" s="11"/>
      <c r="C44" s="19"/>
      <c r="D44" s="17"/>
      <c r="E44" s="21"/>
      <c r="F44" s="22" t="str">
        <f t="shared" si="7"/>
        <v/>
      </c>
      <c r="G44" s="21"/>
      <c r="H44" s="22" t="str">
        <f t="shared" si="8"/>
        <v/>
      </c>
      <c r="I44" s="21"/>
      <c r="J44" s="22" t="str">
        <f t="shared" si="9"/>
        <v/>
      </c>
      <c r="K44" s="21"/>
      <c r="L44" s="22" t="str">
        <f t="shared" si="10"/>
        <v/>
      </c>
      <c r="M44" s="21"/>
      <c r="N44" s="22" t="str">
        <f t="shared" si="11"/>
        <v/>
      </c>
      <c r="O44" s="22" t="str">
        <f t="shared" si="12"/>
        <v/>
      </c>
      <c r="P44" s="11"/>
      <c r="Q44" s="17"/>
      <c r="R44" s="11"/>
      <c r="S44" s="17"/>
      <c r="T44" s="15" t="str">
        <f t="shared" si="13"/>
        <v/>
      </c>
      <c r="U44" s="11"/>
      <c r="V44" s="11"/>
    </row>
    <row r="45" spans="1:22">
      <c r="A45" s="11"/>
      <c r="B45" s="11"/>
      <c r="C45" s="19"/>
      <c r="D45" s="17"/>
      <c r="E45" s="21"/>
      <c r="F45" s="22" t="str">
        <f t="shared" si="7"/>
        <v/>
      </c>
      <c r="G45" s="21"/>
      <c r="H45" s="22" t="str">
        <f t="shared" si="8"/>
        <v/>
      </c>
      <c r="I45" s="21"/>
      <c r="J45" s="22" t="str">
        <f t="shared" si="9"/>
        <v/>
      </c>
      <c r="K45" s="21"/>
      <c r="L45" s="22" t="str">
        <f t="shared" si="10"/>
        <v/>
      </c>
      <c r="M45" s="21"/>
      <c r="N45" s="22" t="str">
        <f t="shared" si="11"/>
        <v/>
      </c>
      <c r="O45" s="22" t="str">
        <f t="shared" si="12"/>
        <v/>
      </c>
      <c r="P45" s="11"/>
      <c r="Q45" s="17"/>
      <c r="R45" s="11"/>
      <c r="S45" s="17"/>
      <c r="T45" s="15" t="str">
        <f t="shared" si="13"/>
        <v/>
      </c>
      <c r="U45" s="11"/>
      <c r="V45" s="11"/>
    </row>
    <row r="46" spans="1:22">
      <c r="A46" s="11"/>
      <c r="B46" s="11"/>
      <c r="C46" s="19"/>
      <c r="D46" s="17"/>
      <c r="E46" s="21"/>
      <c r="F46" s="22" t="str">
        <f t="shared" si="7"/>
        <v/>
      </c>
      <c r="G46" s="21"/>
      <c r="H46" s="22" t="str">
        <f t="shared" si="8"/>
        <v/>
      </c>
      <c r="I46" s="21"/>
      <c r="J46" s="22" t="str">
        <f t="shared" si="9"/>
        <v/>
      </c>
      <c r="K46" s="21"/>
      <c r="L46" s="22" t="str">
        <f t="shared" si="10"/>
        <v/>
      </c>
      <c r="M46" s="21"/>
      <c r="N46" s="22" t="str">
        <f t="shared" si="11"/>
        <v/>
      </c>
      <c r="O46" s="22" t="str">
        <f t="shared" si="12"/>
        <v/>
      </c>
      <c r="P46" s="11"/>
      <c r="Q46" s="17"/>
      <c r="R46" s="11"/>
      <c r="S46" s="17"/>
      <c r="T46" s="15" t="str">
        <f t="shared" si="13"/>
        <v/>
      </c>
      <c r="U46" s="11"/>
      <c r="V46" s="11"/>
    </row>
    <row r="47" spans="1:22">
      <c r="A47" s="11"/>
      <c r="B47" s="11"/>
      <c r="C47" s="19"/>
      <c r="D47" s="17"/>
      <c r="E47" s="21"/>
      <c r="F47" s="22" t="str">
        <f t="shared" si="7"/>
        <v/>
      </c>
      <c r="G47" s="21"/>
      <c r="H47" s="22" t="str">
        <f t="shared" si="8"/>
        <v/>
      </c>
      <c r="I47" s="21"/>
      <c r="J47" s="22" t="str">
        <f t="shared" si="9"/>
        <v/>
      </c>
      <c r="K47" s="21"/>
      <c r="L47" s="22" t="str">
        <f t="shared" si="10"/>
        <v/>
      </c>
      <c r="M47" s="21"/>
      <c r="N47" s="22" t="str">
        <f t="shared" si="11"/>
        <v/>
      </c>
      <c r="O47" s="22" t="str">
        <f t="shared" si="12"/>
        <v/>
      </c>
      <c r="P47" s="11"/>
      <c r="Q47" s="17"/>
      <c r="R47" s="11"/>
      <c r="S47" s="17"/>
      <c r="T47" s="15" t="str">
        <f t="shared" si="13"/>
        <v/>
      </c>
      <c r="U47" s="11"/>
      <c r="V47" s="11"/>
    </row>
    <row r="48" spans="1:22">
      <c r="A48" s="11"/>
      <c r="B48" s="11"/>
      <c r="C48" s="19"/>
      <c r="D48" s="17"/>
      <c r="E48" s="21"/>
      <c r="F48" s="22" t="str">
        <f t="shared" si="7"/>
        <v/>
      </c>
      <c r="G48" s="21"/>
      <c r="H48" s="22" t="str">
        <f t="shared" si="8"/>
        <v/>
      </c>
      <c r="I48" s="21"/>
      <c r="J48" s="22" t="str">
        <f t="shared" si="9"/>
        <v/>
      </c>
      <c r="K48" s="21"/>
      <c r="L48" s="22" t="str">
        <f t="shared" si="10"/>
        <v/>
      </c>
      <c r="M48" s="21"/>
      <c r="N48" s="22" t="str">
        <f t="shared" si="11"/>
        <v/>
      </c>
      <c r="O48" s="22" t="str">
        <f t="shared" si="12"/>
        <v/>
      </c>
      <c r="P48" s="11"/>
      <c r="Q48" s="17"/>
      <c r="R48" s="11"/>
      <c r="S48" s="17"/>
      <c r="T48" s="15" t="str">
        <f t="shared" si="13"/>
        <v/>
      </c>
      <c r="U48" s="11"/>
      <c r="V48" s="11"/>
    </row>
    <row r="49" spans="1:22">
      <c r="A49" s="11"/>
      <c r="B49" s="11"/>
      <c r="C49" s="19"/>
      <c r="D49" s="17"/>
      <c r="E49" s="21"/>
      <c r="F49" s="22" t="str">
        <f t="shared" si="7"/>
        <v/>
      </c>
      <c r="G49" s="21"/>
      <c r="H49" s="22" t="str">
        <f t="shared" si="8"/>
        <v/>
      </c>
      <c r="I49" s="21"/>
      <c r="J49" s="22" t="str">
        <f t="shared" si="9"/>
        <v/>
      </c>
      <c r="K49" s="21"/>
      <c r="L49" s="22" t="str">
        <f t="shared" si="10"/>
        <v/>
      </c>
      <c r="M49" s="21"/>
      <c r="N49" s="22" t="str">
        <f t="shared" si="11"/>
        <v/>
      </c>
      <c r="O49" s="22" t="str">
        <f t="shared" si="12"/>
        <v/>
      </c>
      <c r="P49" s="11"/>
      <c r="Q49" s="17"/>
      <c r="R49" s="11"/>
      <c r="S49" s="17"/>
      <c r="T49" s="15" t="str">
        <f t="shared" si="13"/>
        <v/>
      </c>
      <c r="U49" s="11"/>
      <c r="V49" s="11"/>
    </row>
    <row r="50" spans="1:22">
      <c r="A50" s="11"/>
      <c r="B50" s="11"/>
      <c r="C50" s="19"/>
      <c r="D50" s="17"/>
      <c r="E50" s="21"/>
      <c r="F50" s="22" t="str">
        <f t="shared" si="7"/>
        <v/>
      </c>
      <c r="G50" s="21"/>
      <c r="H50" s="22" t="str">
        <f t="shared" si="8"/>
        <v/>
      </c>
      <c r="I50" s="21"/>
      <c r="J50" s="22" t="str">
        <f t="shared" si="9"/>
        <v/>
      </c>
      <c r="K50" s="21"/>
      <c r="L50" s="22" t="str">
        <f t="shared" si="10"/>
        <v/>
      </c>
      <c r="M50" s="21"/>
      <c r="N50" s="22" t="str">
        <f t="shared" si="11"/>
        <v/>
      </c>
      <c r="O50" s="22" t="str">
        <f t="shared" si="12"/>
        <v/>
      </c>
      <c r="P50" s="11"/>
      <c r="Q50" s="17"/>
      <c r="R50" s="11"/>
      <c r="S50" s="17"/>
      <c r="T50" s="15" t="str">
        <f t="shared" si="13"/>
        <v/>
      </c>
      <c r="U50" s="11"/>
      <c r="V50" s="11"/>
    </row>
    <row r="51" spans="1:22">
      <c r="A51" s="11"/>
      <c r="B51" s="11"/>
      <c r="C51" s="19"/>
      <c r="D51" s="17"/>
      <c r="E51" s="21"/>
      <c r="F51" s="22" t="str">
        <f t="shared" si="7"/>
        <v/>
      </c>
      <c r="G51" s="21"/>
      <c r="H51" s="22" t="str">
        <f t="shared" si="8"/>
        <v/>
      </c>
      <c r="I51" s="21"/>
      <c r="J51" s="22" t="str">
        <f t="shared" si="9"/>
        <v/>
      </c>
      <c r="K51" s="21"/>
      <c r="L51" s="22" t="str">
        <f t="shared" si="10"/>
        <v/>
      </c>
      <c r="M51" s="21"/>
      <c r="N51" s="22" t="str">
        <f t="shared" si="11"/>
        <v/>
      </c>
      <c r="O51" s="22" t="str">
        <f t="shared" si="12"/>
        <v/>
      </c>
      <c r="P51" s="11"/>
      <c r="Q51" s="17"/>
      <c r="R51" s="11"/>
      <c r="S51" s="17"/>
      <c r="T51" s="15" t="str">
        <f t="shared" si="13"/>
        <v/>
      </c>
      <c r="U51" s="11"/>
      <c r="V51" s="11"/>
    </row>
    <row r="52" spans="1:22">
      <c r="A52" s="11"/>
      <c r="B52" s="11"/>
      <c r="C52" s="19"/>
      <c r="D52" s="17"/>
      <c r="E52" s="21"/>
      <c r="F52" s="22" t="str">
        <f t="shared" si="7"/>
        <v/>
      </c>
      <c r="G52" s="21"/>
      <c r="H52" s="22" t="str">
        <f t="shared" si="8"/>
        <v/>
      </c>
      <c r="I52" s="21"/>
      <c r="J52" s="22" t="str">
        <f t="shared" si="9"/>
        <v/>
      </c>
      <c r="K52" s="21"/>
      <c r="L52" s="22" t="str">
        <f t="shared" si="10"/>
        <v/>
      </c>
      <c r="M52" s="21"/>
      <c r="N52" s="22" t="str">
        <f t="shared" si="11"/>
        <v/>
      </c>
      <c r="O52" s="22" t="str">
        <f t="shared" si="12"/>
        <v/>
      </c>
      <c r="P52" s="11"/>
      <c r="Q52" s="17"/>
      <c r="R52" s="11"/>
      <c r="S52" s="17"/>
      <c r="T52" s="15" t="str">
        <f t="shared" si="13"/>
        <v/>
      </c>
      <c r="U52" s="11"/>
      <c r="V52" s="11"/>
    </row>
    <row r="53" spans="1:22">
      <c r="A53" s="11"/>
      <c r="B53" s="11"/>
      <c r="C53" s="19"/>
      <c r="D53" s="17"/>
      <c r="E53" s="21"/>
      <c r="F53" s="22" t="str">
        <f t="shared" si="7"/>
        <v/>
      </c>
      <c r="G53" s="21"/>
      <c r="H53" s="22" t="str">
        <f t="shared" si="8"/>
        <v/>
      </c>
      <c r="I53" s="21"/>
      <c r="J53" s="22" t="str">
        <f t="shared" si="9"/>
        <v/>
      </c>
      <c r="K53" s="21"/>
      <c r="L53" s="22" t="str">
        <f t="shared" si="10"/>
        <v/>
      </c>
      <c r="M53" s="21"/>
      <c r="N53" s="22" t="str">
        <f t="shared" si="11"/>
        <v/>
      </c>
      <c r="O53" s="22" t="str">
        <f t="shared" si="12"/>
        <v/>
      </c>
      <c r="P53" s="11"/>
      <c r="Q53" s="17"/>
      <c r="R53" s="11"/>
      <c r="S53" s="17"/>
      <c r="T53" s="15" t="str">
        <f t="shared" si="13"/>
        <v/>
      </c>
      <c r="U53" s="11"/>
      <c r="V53" s="11"/>
    </row>
    <row r="54" spans="1:22">
      <c r="A54" s="11"/>
      <c r="B54" s="11"/>
      <c r="C54" s="19"/>
      <c r="D54" s="17"/>
      <c r="E54" s="21"/>
      <c r="F54" s="22" t="str">
        <f t="shared" si="7"/>
        <v/>
      </c>
      <c r="G54" s="21"/>
      <c r="H54" s="22" t="str">
        <f t="shared" si="8"/>
        <v/>
      </c>
      <c r="I54" s="21"/>
      <c r="J54" s="22" t="str">
        <f t="shared" si="9"/>
        <v/>
      </c>
      <c r="K54" s="21"/>
      <c r="L54" s="22" t="str">
        <f t="shared" si="10"/>
        <v/>
      </c>
      <c r="M54" s="21"/>
      <c r="N54" s="22" t="str">
        <f t="shared" si="11"/>
        <v/>
      </c>
      <c r="O54" s="22" t="str">
        <f t="shared" si="12"/>
        <v/>
      </c>
      <c r="P54" s="11"/>
      <c r="Q54" s="17"/>
      <c r="R54" s="11"/>
      <c r="S54" s="17"/>
      <c r="T54" s="15" t="str">
        <f t="shared" si="13"/>
        <v/>
      </c>
      <c r="U54" s="11"/>
      <c r="V54" s="11"/>
    </row>
    <row r="55" spans="1:22">
      <c r="A55" s="11"/>
      <c r="B55" s="11"/>
      <c r="C55" s="19"/>
      <c r="D55" s="17"/>
      <c r="E55" s="21"/>
      <c r="F55" s="22" t="str">
        <f t="shared" si="7"/>
        <v/>
      </c>
      <c r="G55" s="21"/>
      <c r="H55" s="22" t="str">
        <f t="shared" si="8"/>
        <v/>
      </c>
      <c r="I55" s="21"/>
      <c r="J55" s="22" t="str">
        <f t="shared" si="9"/>
        <v/>
      </c>
      <c r="K55" s="21"/>
      <c r="L55" s="22" t="str">
        <f t="shared" si="10"/>
        <v/>
      </c>
      <c r="M55" s="21"/>
      <c r="N55" s="22" t="str">
        <f t="shared" si="11"/>
        <v/>
      </c>
      <c r="O55" s="22" t="str">
        <f t="shared" si="12"/>
        <v/>
      </c>
      <c r="P55" s="11"/>
      <c r="Q55" s="17"/>
      <c r="R55" s="11"/>
      <c r="S55" s="17"/>
      <c r="T55" s="15" t="str">
        <f t="shared" si="13"/>
        <v/>
      </c>
      <c r="U55" s="11"/>
      <c r="V55" s="11"/>
    </row>
    <row r="56" spans="1:22">
      <c r="A56" s="11"/>
      <c r="B56" s="11"/>
      <c r="C56" s="19"/>
      <c r="D56" s="17"/>
      <c r="E56" s="21"/>
      <c r="F56" s="22" t="str">
        <f t="shared" si="7"/>
        <v/>
      </c>
      <c r="G56" s="21"/>
      <c r="H56" s="22" t="str">
        <f t="shared" si="8"/>
        <v/>
      </c>
      <c r="I56" s="21"/>
      <c r="J56" s="22" t="str">
        <f t="shared" si="9"/>
        <v/>
      </c>
      <c r="K56" s="21"/>
      <c r="L56" s="22" t="str">
        <f t="shared" si="10"/>
        <v/>
      </c>
      <c r="M56" s="21"/>
      <c r="N56" s="22" t="str">
        <f t="shared" si="11"/>
        <v/>
      </c>
      <c r="O56" s="22" t="str">
        <f t="shared" si="12"/>
        <v/>
      </c>
      <c r="P56" s="11"/>
      <c r="Q56" s="17"/>
      <c r="R56" s="11"/>
      <c r="S56" s="17"/>
      <c r="T56" s="15" t="str">
        <f t="shared" si="13"/>
        <v/>
      </c>
      <c r="U56" s="11"/>
      <c r="V56" s="11"/>
    </row>
    <row r="57" spans="1:22">
      <c r="A57" s="11"/>
      <c r="B57" s="11"/>
      <c r="C57" s="19"/>
      <c r="D57" s="17"/>
      <c r="E57" s="21"/>
      <c r="F57" s="22" t="str">
        <f t="shared" si="7"/>
        <v/>
      </c>
      <c r="G57" s="21"/>
      <c r="H57" s="22" t="str">
        <f t="shared" si="8"/>
        <v/>
      </c>
      <c r="I57" s="21"/>
      <c r="J57" s="22" t="str">
        <f t="shared" si="9"/>
        <v/>
      </c>
      <c r="K57" s="21"/>
      <c r="L57" s="22" t="str">
        <f t="shared" si="10"/>
        <v/>
      </c>
      <c r="M57" s="21"/>
      <c r="N57" s="22" t="str">
        <f t="shared" si="11"/>
        <v/>
      </c>
      <c r="O57" s="22" t="str">
        <f t="shared" si="12"/>
        <v/>
      </c>
      <c r="P57" s="11"/>
      <c r="Q57" s="17"/>
      <c r="R57" s="11"/>
      <c r="S57" s="17"/>
      <c r="T57" s="15" t="str">
        <f t="shared" si="13"/>
        <v/>
      </c>
      <c r="U57" s="11"/>
      <c r="V57" s="11"/>
    </row>
    <row r="58" spans="1:22">
      <c r="A58" s="11"/>
      <c r="B58" s="11"/>
      <c r="C58" s="19"/>
      <c r="D58" s="17"/>
      <c r="E58" s="21"/>
      <c r="F58" s="22" t="str">
        <f t="shared" si="7"/>
        <v/>
      </c>
      <c r="G58" s="21"/>
      <c r="H58" s="22" t="str">
        <f t="shared" si="8"/>
        <v/>
      </c>
      <c r="I58" s="21"/>
      <c r="J58" s="22" t="str">
        <f t="shared" si="9"/>
        <v/>
      </c>
      <c r="K58" s="21"/>
      <c r="L58" s="22" t="str">
        <f t="shared" si="10"/>
        <v/>
      </c>
      <c r="M58" s="21"/>
      <c r="N58" s="22" t="str">
        <f t="shared" si="11"/>
        <v/>
      </c>
      <c r="O58" s="22" t="str">
        <f t="shared" si="12"/>
        <v/>
      </c>
      <c r="P58" s="11"/>
      <c r="Q58" s="17"/>
      <c r="R58" s="11"/>
      <c r="S58" s="17"/>
      <c r="T58" s="15" t="str">
        <f t="shared" si="13"/>
        <v/>
      </c>
      <c r="U58" s="11"/>
      <c r="V58" s="11"/>
    </row>
    <row r="59" spans="1:22">
      <c r="A59" s="11"/>
      <c r="B59" s="11"/>
      <c r="C59" s="19"/>
      <c r="D59" s="17"/>
      <c r="E59" s="21"/>
      <c r="F59" s="22" t="str">
        <f t="shared" si="7"/>
        <v/>
      </c>
      <c r="G59" s="21"/>
      <c r="H59" s="22" t="str">
        <f t="shared" si="8"/>
        <v/>
      </c>
      <c r="I59" s="21"/>
      <c r="J59" s="22" t="str">
        <f t="shared" si="9"/>
        <v/>
      </c>
      <c r="K59" s="21"/>
      <c r="L59" s="22" t="str">
        <f t="shared" si="10"/>
        <v/>
      </c>
      <c r="M59" s="21"/>
      <c r="N59" s="22" t="str">
        <f t="shared" si="11"/>
        <v/>
      </c>
      <c r="O59" s="22" t="str">
        <f t="shared" si="12"/>
        <v/>
      </c>
      <c r="P59" s="11"/>
      <c r="Q59" s="17"/>
      <c r="R59" s="11"/>
      <c r="S59" s="17"/>
      <c r="T59" s="15" t="str">
        <f t="shared" si="13"/>
        <v/>
      </c>
      <c r="U59" s="11"/>
      <c r="V59" s="11"/>
    </row>
    <row r="60" spans="1:22">
      <c r="A60" s="11"/>
      <c r="B60" s="11"/>
      <c r="C60" s="19"/>
      <c r="D60" s="17"/>
      <c r="E60" s="21"/>
      <c r="F60" s="22" t="str">
        <f t="shared" si="7"/>
        <v/>
      </c>
      <c r="G60" s="21"/>
      <c r="H60" s="22" t="str">
        <f t="shared" si="8"/>
        <v/>
      </c>
      <c r="I60" s="21"/>
      <c r="J60" s="22" t="str">
        <f t="shared" si="9"/>
        <v/>
      </c>
      <c r="K60" s="21"/>
      <c r="L60" s="22" t="str">
        <f t="shared" si="10"/>
        <v/>
      </c>
      <c r="M60" s="21"/>
      <c r="N60" s="22" t="str">
        <f t="shared" si="11"/>
        <v/>
      </c>
      <c r="O60" s="22" t="str">
        <f t="shared" si="12"/>
        <v/>
      </c>
      <c r="P60" s="11"/>
      <c r="Q60" s="17"/>
      <c r="R60" s="11"/>
      <c r="S60" s="17"/>
      <c r="T60" s="15" t="str">
        <f t="shared" si="13"/>
        <v/>
      </c>
      <c r="U60" s="11"/>
      <c r="V60" s="11"/>
    </row>
    <row r="61" spans="1:22">
      <c r="A61" s="11"/>
      <c r="B61" s="11"/>
      <c r="C61" s="19"/>
      <c r="D61" s="17"/>
      <c r="E61" s="21"/>
      <c r="F61" s="22" t="str">
        <f t="shared" si="7"/>
        <v/>
      </c>
      <c r="G61" s="21"/>
      <c r="H61" s="22" t="str">
        <f t="shared" si="8"/>
        <v/>
      </c>
      <c r="I61" s="21"/>
      <c r="J61" s="22" t="str">
        <f t="shared" si="9"/>
        <v/>
      </c>
      <c r="K61" s="21"/>
      <c r="L61" s="22" t="str">
        <f t="shared" si="10"/>
        <v/>
      </c>
      <c r="M61" s="21"/>
      <c r="N61" s="22" t="str">
        <f t="shared" si="11"/>
        <v/>
      </c>
      <c r="O61" s="22" t="str">
        <f t="shared" si="12"/>
        <v/>
      </c>
      <c r="P61" s="11"/>
      <c r="Q61" s="17"/>
      <c r="R61" s="11"/>
      <c r="S61" s="17"/>
      <c r="T61" s="15" t="str">
        <f t="shared" si="13"/>
        <v/>
      </c>
      <c r="U61" s="11"/>
      <c r="V61" s="11"/>
    </row>
    <row r="62" spans="1:22">
      <c r="A62" s="11"/>
      <c r="B62" s="11"/>
      <c r="C62" s="19"/>
      <c r="D62" s="17"/>
      <c r="E62" s="21"/>
      <c r="F62" s="22" t="str">
        <f t="shared" si="7"/>
        <v/>
      </c>
      <c r="G62" s="21"/>
      <c r="H62" s="22" t="str">
        <f t="shared" si="8"/>
        <v/>
      </c>
      <c r="I62" s="21"/>
      <c r="J62" s="22" t="str">
        <f t="shared" si="9"/>
        <v/>
      </c>
      <c r="K62" s="21"/>
      <c r="L62" s="22" t="str">
        <f t="shared" si="10"/>
        <v/>
      </c>
      <c r="M62" s="21"/>
      <c r="N62" s="22" t="str">
        <f t="shared" si="11"/>
        <v/>
      </c>
      <c r="O62" s="22" t="str">
        <f t="shared" si="12"/>
        <v/>
      </c>
      <c r="P62" s="11"/>
      <c r="Q62" s="17"/>
      <c r="R62" s="11"/>
      <c r="S62" s="17"/>
      <c r="T62" s="15" t="str">
        <f t="shared" si="13"/>
        <v/>
      </c>
      <c r="U62" s="11"/>
      <c r="V62" s="11"/>
    </row>
    <row r="63" spans="1:22">
      <c r="A63" s="11"/>
      <c r="B63" s="11"/>
      <c r="C63" s="19"/>
      <c r="D63" s="17"/>
      <c r="E63" s="21"/>
      <c r="F63" s="22" t="str">
        <f t="shared" si="7"/>
        <v/>
      </c>
      <c r="G63" s="21"/>
      <c r="H63" s="22" t="str">
        <f t="shared" si="8"/>
        <v/>
      </c>
      <c r="I63" s="21"/>
      <c r="J63" s="22" t="str">
        <f t="shared" si="9"/>
        <v/>
      </c>
      <c r="K63" s="21"/>
      <c r="L63" s="22" t="str">
        <f t="shared" si="10"/>
        <v/>
      </c>
      <c r="M63" s="21"/>
      <c r="N63" s="22" t="str">
        <f t="shared" si="11"/>
        <v/>
      </c>
      <c r="O63" s="22" t="str">
        <f t="shared" si="12"/>
        <v/>
      </c>
      <c r="P63" s="11"/>
      <c r="Q63" s="17"/>
      <c r="R63" s="11"/>
      <c r="S63" s="17"/>
      <c r="T63" s="15" t="str">
        <f t="shared" si="13"/>
        <v/>
      </c>
      <c r="U63" s="11"/>
      <c r="V63" s="11"/>
    </row>
    <row r="64" spans="1:22">
      <c r="A64" s="11"/>
      <c r="B64" s="11"/>
      <c r="C64" s="19"/>
      <c r="D64" s="17"/>
      <c r="E64" s="21"/>
      <c r="F64" s="22" t="str">
        <f t="shared" si="7"/>
        <v/>
      </c>
      <c r="G64" s="21"/>
      <c r="H64" s="22" t="str">
        <f t="shared" si="8"/>
        <v/>
      </c>
      <c r="I64" s="21"/>
      <c r="J64" s="22" t="str">
        <f t="shared" si="9"/>
        <v/>
      </c>
      <c r="K64" s="21"/>
      <c r="L64" s="22" t="str">
        <f t="shared" si="10"/>
        <v/>
      </c>
      <c r="M64" s="21"/>
      <c r="N64" s="22" t="str">
        <f t="shared" si="11"/>
        <v/>
      </c>
      <c r="O64" s="22" t="str">
        <f t="shared" si="12"/>
        <v/>
      </c>
      <c r="P64" s="11"/>
      <c r="Q64" s="17"/>
      <c r="R64" s="11"/>
      <c r="S64" s="17"/>
      <c r="T64" s="15" t="str">
        <f t="shared" si="13"/>
        <v/>
      </c>
      <c r="U64" s="11"/>
      <c r="V64" s="11"/>
    </row>
    <row r="65" spans="1:22">
      <c r="A65" s="11"/>
      <c r="B65" s="11"/>
      <c r="C65" s="19"/>
      <c r="D65" s="17"/>
      <c r="E65" s="21"/>
      <c r="F65" s="22" t="str">
        <f t="shared" si="7"/>
        <v/>
      </c>
      <c r="G65" s="21"/>
      <c r="H65" s="22" t="str">
        <f t="shared" si="8"/>
        <v/>
      </c>
      <c r="I65" s="21"/>
      <c r="J65" s="22" t="str">
        <f t="shared" si="9"/>
        <v/>
      </c>
      <c r="K65" s="21"/>
      <c r="L65" s="22" t="str">
        <f t="shared" si="10"/>
        <v/>
      </c>
      <c r="M65" s="21"/>
      <c r="N65" s="22" t="str">
        <f t="shared" si="11"/>
        <v/>
      </c>
      <c r="O65" s="22" t="str">
        <f t="shared" si="12"/>
        <v/>
      </c>
      <c r="P65" s="11"/>
      <c r="Q65" s="17"/>
      <c r="R65" s="11"/>
      <c r="S65" s="17"/>
      <c r="T65" s="15" t="str">
        <f t="shared" si="13"/>
        <v/>
      </c>
      <c r="U65" s="11"/>
      <c r="V65" s="11"/>
    </row>
    <row r="66" spans="1:22">
      <c r="A66" s="11"/>
      <c r="B66" s="11"/>
      <c r="C66" s="19"/>
      <c r="D66" s="17"/>
      <c r="E66" s="21"/>
      <c r="F66" s="22" t="str">
        <f t="shared" si="7"/>
        <v/>
      </c>
      <c r="G66" s="21"/>
      <c r="H66" s="22" t="str">
        <f t="shared" si="8"/>
        <v/>
      </c>
      <c r="I66" s="21"/>
      <c r="J66" s="22" t="str">
        <f t="shared" si="9"/>
        <v/>
      </c>
      <c r="K66" s="21"/>
      <c r="L66" s="22" t="str">
        <f t="shared" si="10"/>
        <v/>
      </c>
      <c r="M66" s="21"/>
      <c r="N66" s="22" t="str">
        <f t="shared" si="11"/>
        <v/>
      </c>
      <c r="O66" s="22" t="str">
        <f t="shared" si="12"/>
        <v/>
      </c>
      <c r="P66" s="11"/>
      <c r="Q66" s="17"/>
      <c r="R66" s="11"/>
      <c r="S66" s="17"/>
      <c r="T66" s="15" t="str">
        <f t="shared" si="13"/>
        <v/>
      </c>
      <c r="U66" s="11"/>
      <c r="V66" s="11"/>
    </row>
    <row r="67" spans="1:22">
      <c r="A67" s="11"/>
      <c r="B67" s="11"/>
      <c r="C67" s="19"/>
      <c r="D67" s="17"/>
      <c r="E67" s="21"/>
      <c r="F67" s="22" t="str">
        <f t="shared" si="7"/>
        <v/>
      </c>
      <c r="G67" s="21"/>
      <c r="H67" s="22" t="str">
        <f t="shared" si="8"/>
        <v/>
      </c>
      <c r="I67" s="21"/>
      <c r="J67" s="22" t="str">
        <f t="shared" si="9"/>
        <v/>
      </c>
      <c r="K67" s="21"/>
      <c r="L67" s="22" t="str">
        <f t="shared" si="10"/>
        <v/>
      </c>
      <c r="M67" s="21"/>
      <c r="N67" s="22" t="str">
        <f t="shared" si="11"/>
        <v/>
      </c>
      <c r="O67" s="22" t="str">
        <f t="shared" si="12"/>
        <v/>
      </c>
      <c r="P67" s="11"/>
      <c r="Q67" s="17"/>
      <c r="R67" s="11"/>
      <c r="S67" s="17"/>
      <c r="T67" s="15" t="str">
        <f t="shared" si="13"/>
        <v/>
      </c>
      <c r="U67" s="11"/>
      <c r="V67" s="11"/>
    </row>
    <row r="68" spans="1:22">
      <c r="A68" s="11"/>
      <c r="B68" s="11"/>
      <c r="C68" s="19"/>
      <c r="D68" s="17"/>
      <c r="E68" s="21"/>
      <c r="F68" s="22" t="str">
        <f t="shared" si="7"/>
        <v/>
      </c>
      <c r="G68" s="21"/>
      <c r="H68" s="22" t="str">
        <f t="shared" si="8"/>
        <v/>
      </c>
      <c r="I68" s="21"/>
      <c r="J68" s="22" t="str">
        <f t="shared" si="9"/>
        <v/>
      </c>
      <c r="K68" s="21"/>
      <c r="L68" s="22" t="str">
        <f t="shared" si="10"/>
        <v/>
      </c>
      <c r="M68" s="21"/>
      <c r="N68" s="22" t="str">
        <f t="shared" si="11"/>
        <v/>
      </c>
      <c r="O68" s="22" t="str">
        <f t="shared" si="12"/>
        <v/>
      </c>
      <c r="P68" s="11"/>
      <c r="Q68" s="17"/>
      <c r="R68" s="11"/>
      <c r="S68" s="17"/>
      <c r="T68" s="15" t="str">
        <f t="shared" si="13"/>
        <v/>
      </c>
      <c r="U68" s="11"/>
      <c r="V68" s="11"/>
    </row>
    <row r="69" spans="1:22">
      <c r="A69" s="11"/>
      <c r="B69" s="11"/>
      <c r="C69" s="19"/>
      <c r="D69" s="17"/>
      <c r="E69" s="21"/>
      <c r="F69" s="22" t="str">
        <f t="shared" si="7"/>
        <v/>
      </c>
      <c r="G69" s="21"/>
      <c r="H69" s="22" t="str">
        <f t="shared" si="8"/>
        <v/>
      </c>
      <c r="I69" s="21"/>
      <c r="J69" s="22" t="str">
        <f t="shared" si="9"/>
        <v/>
      </c>
      <c r="K69" s="21"/>
      <c r="L69" s="22" t="str">
        <f t="shared" si="10"/>
        <v/>
      </c>
      <c r="M69" s="21"/>
      <c r="N69" s="22" t="str">
        <f t="shared" si="11"/>
        <v/>
      </c>
      <c r="O69" s="22" t="str">
        <f t="shared" si="12"/>
        <v/>
      </c>
      <c r="P69" s="11"/>
      <c r="Q69" s="17"/>
      <c r="R69" s="11"/>
      <c r="S69" s="17"/>
      <c r="T69" s="15" t="str">
        <f t="shared" si="13"/>
        <v/>
      </c>
      <c r="U69" s="11"/>
      <c r="V69" s="11"/>
    </row>
    <row r="70" spans="1:22">
      <c r="A70" s="11"/>
      <c r="B70" s="11"/>
      <c r="C70" s="19"/>
      <c r="D70" s="17"/>
      <c r="E70" s="21"/>
      <c r="F70" s="22" t="str">
        <f t="shared" ref="F70:F101" si="14">IF(E70="","",IF(E70/15&gt;=0.9,"Excelente",IF(E70/15&gt;=0.75,"Bueno",IF(E70/15&gt;=0.6,"Suficiente","Insuficiente"))))</f>
        <v/>
      </c>
      <c r="G70" s="21"/>
      <c r="H70" s="22" t="str">
        <f t="shared" ref="H70:H101" si="15">IF(G70="","",IF(G70/25&gt;=0.9,"Excelente",IF(G70/25&gt;=0.75,"Bueno",IF(G70/25&gt;=0.6,"Suficiente","Insuficiente"))))</f>
        <v/>
      </c>
      <c r="I70" s="21"/>
      <c r="J70" s="22" t="str">
        <f t="shared" ref="J70:J101" si="16">IF(I70="","",IF(I70/25&gt;=0.9,"Excelente",IF(I70/25&gt;=0.75,"Bueno",IF(I70/25&gt;=0.6,"Suficiente","Insuficiente"))))</f>
        <v/>
      </c>
      <c r="K70" s="21"/>
      <c r="L70" s="22" t="str">
        <f t="shared" ref="L70:L101" si="17">IF(K70="","",IF(K70/20&gt;=0.9,"Excelente",IF(K70/20&gt;=0.75,"Bueno",IF(K70/20&gt;=0.6,"Suficiente","Insuficiente"))))</f>
        <v/>
      </c>
      <c r="M70" s="21"/>
      <c r="N70" s="22" t="str">
        <f t="shared" ref="N70:N101" si="18">IF(M70="","",IF(M70/15&gt;=0.9,"Excelente",IF(M70/15&gt;=0.75,"Bueno",IF(M70/15&gt;=0.6,"Suficiente","Insuficiente"))))</f>
        <v/>
      </c>
      <c r="O70" s="22" t="str">
        <f t="shared" ref="O70:O101" si="19">IF(COUNT(E70,G70,I70,K70,M70)&lt;5,"",SUM(E70,G70,I70,K70,M70))</f>
        <v/>
      </c>
      <c r="P70" s="11"/>
      <c r="Q70" s="17"/>
      <c r="R70" s="11"/>
      <c r="S70" s="17"/>
      <c r="T70" s="15" t="str">
        <f t="shared" ref="T70:T101" si="20">IF(A70="","",IF(OR(D70="Sí",Q70="Sí",S70&lt;&gt;"Finalizada"),"No","Sí"))</f>
        <v/>
      </c>
      <c r="U70" s="11"/>
      <c r="V70" s="11"/>
    </row>
    <row r="71" spans="1:22">
      <c r="A71" s="11"/>
      <c r="B71" s="11"/>
      <c r="C71" s="19"/>
      <c r="D71" s="17"/>
      <c r="E71" s="21"/>
      <c r="F71" s="22" t="str">
        <f t="shared" si="14"/>
        <v/>
      </c>
      <c r="G71" s="21"/>
      <c r="H71" s="22" t="str">
        <f t="shared" si="15"/>
        <v/>
      </c>
      <c r="I71" s="21"/>
      <c r="J71" s="22" t="str">
        <f t="shared" si="16"/>
        <v/>
      </c>
      <c r="K71" s="21"/>
      <c r="L71" s="22" t="str">
        <f t="shared" si="17"/>
        <v/>
      </c>
      <c r="M71" s="21"/>
      <c r="N71" s="22" t="str">
        <f t="shared" si="18"/>
        <v/>
      </c>
      <c r="O71" s="22" t="str">
        <f t="shared" si="19"/>
        <v/>
      </c>
      <c r="P71" s="11"/>
      <c r="Q71" s="17"/>
      <c r="R71" s="11"/>
      <c r="S71" s="17"/>
      <c r="T71" s="15" t="str">
        <f t="shared" si="20"/>
        <v/>
      </c>
      <c r="U71" s="11"/>
      <c r="V71" s="11"/>
    </row>
    <row r="72" spans="1:22">
      <c r="A72" s="11"/>
      <c r="B72" s="11"/>
      <c r="C72" s="19"/>
      <c r="D72" s="17"/>
      <c r="E72" s="21"/>
      <c r="F72" s="22" t="str">
        <f t="shared" si="14"/>
        <v/>
      </c>
      <c r="G72" s="21"/>
      <c r="H72" s="22" t="str">
        <f t="shared" si="15"/>
        <v/>
      </c>
      <c r="I72" s="21"/>
      <c r="J72" s="22" t="str">
        <f t="shared" si="16"/>
        <v/>
      </c>
      <c r="K72" s="21"/>
      <c r="L72" s="22" t="str">
        <f t="shared" si="17"/>
        <v/>
      </c>
      <c r="M72" s="21"/>
      <c r="N72" s="22" t="str">
        <f t="shared" si="18"/>
        <v/>
      </c>
      <c r="O72" s="22" t="str">
        <f t="shared" si="19"/>
        <v/>
      </c>
      <c r="P72" s="11"/>
      <c r="Q72" s="17"/>
      <c r="R72" s="11"/>
      <c r="S72" s="17"/>
      <c r="T72" s="15" t="str">
        <f t="shared" si="20"/>
        <v/>
      </c>
      <c r="U72" s="11"/>
      <c r="V72" s="11"/>
    </row>
    <row r="73" spans="1:22">
      <c r="A73" s="11"/>
      <c r="B73" s="11"/>
      <c r="C73" s="19"/>
      <c r="D73" s="17"/>
      <c r="E73" s="21"/>
      <c r="F73" s="22" t="str">
        <f t="shared" si="14"/>
        <v/>
      </c>
      <c r="G73" s="21"/>
      <c r="H73" s="22" t="str">
        <f t="shared" si="15"/>
        <v/>
      </c>
      <c r="I73" s="21"/>
      <c r="J73" s="22" t="str">
        <f t="shared" si="16"/>
        <v/>
      </c>
      <c r="K73" s="21"/>
      <c r="L73" s="22" t="str">
        <f t="shared" si="17"/>
        <v/>
      </c>
      <c r="M73" s="21"/>
      <c r="N73" s="22" t="str">
        <f t="shared" si="18"/>
        <v/>
      </c>
      <c r="O73" s="22" t="str">
        <f t="shared" si="19"/>
        <v/>
      </c>
      <c r="P73" s="11"/>
      <c r="Q73" s="17"/>
      <c r="R73" s="11"/>
      <c r="S73" s="17"/>
      <c r="T73" s="15" t="str">
        <f t="shared" si="20"/>
        <v/>
      </c>
      <c r="U73" s="11"/>
      <c r="V73" s="11"/>
    </row>
    <row r="74" spans="1:22">
      <c r="A74" s="11"/>
      <c r="B74" s="11"/>
      <c r="C74" s="19"/>
      <c r="D74" s="17"/>
      <c r="E74" s="21"/>
      <c r="F74" s="22" t="str">
        <f t="shared" si="14"/>
        <v/>
      </c>
      <c r="G74" s="21"/>
      <c r="H74" s="22" t="str">
        <f t="shared" si="15"/>
        <v/>
      </c>
      <c r="I74" s="21"/>
      <c r="J74" s="22" t="str">
        <f t="shared" si="16"/>
        <v/>
      </c>
      <c r="K74" s="21"/>
      <c r="L74" s="22" t="str">
        <f t="shared" si="17"/>
        <v/>
      </c>
      <c r="M74" s="21"/>
      <c r="N74" s="22" t="str">
        <f t="shared" si="18"/>
        <v/>
      </c>
      <c r="O74" s="22" t="str">
        <f t="shared" si="19"/>
        <v/>
      </c>
      <c r="P74" s="11"/>
      <c r="Q74" s="17"/>
      <c r="R74" s="11"/>
      <c r="S74" s="17"/>
      <c r="T74" s="15" t="str">
        <f t="shared" si="20"/>
        <v/>
      </c>
      <c r="U74" s="11"/>
      <c r="V74" s="11"/>
    </row>
    <row r="75" spans="1:22">
      <c r="A75" s="11"/>
      <c r="B75" s="11"/>
      <c r="C75" s="19"/>
      <c r="D75" s="17"/>
      <c r="E75" s="21"/>
      <c r="F75" s="22" t="str">
        <f t="shared" si="14"/>
        <v/>
      </c>
      <c r="G75" s="21"/>
      <c r="H75" s="22" t="str">
        <f t="shared" si="15"/>
        <v/>
      </c>
      <c r="I75" s="21"/>
      <c r="J75" s="22" t="str">
        <f t="shared" si="16"/>
        <v/>
      </c>
      <c r="K75" s="21"/>
      <c r="L75" s="22" t="str">
        <f t="shared" si="17"/>
        <v/>
      </c>
      <c r="M75" s="21"/>
      <c r="N75" s="22" t="str">
        <f t="shared" si="18"/>
        <v/>
      </c>
      <c r="O75" s="22" t="str">
        <f t="shared" si="19"/>
        <v/>
      </c>
      <c r="P75" s="11"/>
      <c r="Q75" s="17"/>
      <c r="R75" s="11"/>
      <c r="S75" s="17"/>
      <c r="T75" s="15" t="str">
        <f t="shared" si="20"/>
        <v/>
      </c>
      <c r="U75" s="11"/>
      <c r="V75" s="11"/>
    </row>
    <row r="76" spans="1:22">
      <c r="A76" s="11"/>
      <c r="B76" s="11"/>
      <c r="C76" s="19"/>
      <c r="D76" s="17"/>
      <c r="E76" s="21"/>
      <c r="F76" s="22" t="str">
        <f t="shared" si="14"/>
        <v/>
      </c>
      <c r="G76" s="21"/>
      <c r="H76" s="22" t="str">
        <f t="shared" si="15"/>
        <v/>
      </c>
      <c r="I76" s="21"/>
      <c r="J76" s="22" t="str">
        <f t="shared" si="16"/>
        <v/>
      </c>
      <c r="K76" s="21"/>
      <c r="L76" s="22" t="str">
        <f t="shared" si="17"/>
        <v/>
      </c>
      <c r="M76" s="21"/>
      <c r="N76" s="22" t="str">
        <f t="shared" si="18"/>
        <v/>
      </c>
      <c r="O76" s="22" t="str">
        <f t="shared" si="19"/>
        <v/>
      </c>
      <c r="P76" s="11"/>
      <c r="Q76" s="17"/>
      <c r="R76" s="11"/>
      <c r="S76" s="17"/>
      <c r="T76" s="15" t="str">
        <f t="shared" si="20"/>
        <v/>
      </c>
      <c r="U76" s="11"/>
      <c r="V76" s="11"/>
    </row>
    <row r="77" spans="1:22">
      <c r="A77" s="11"/>
      <c r="B77" s="11"/>
      <c r="C77" s="19"/>
      <c r="D77" s="17"/>
      <c r="E77" s="21"/>
      <c r="F77" s="22" t="str">
        <f t="shared" si="14"/>
        <v/>
      </c>
      <c r="G77" s="21"/>
      <c r="H77" s="22" t="str">
        <f t="shared" si="15"/>
        <v/>
      </c>
      <c r="I77" s="21"/>
      <c r="J77" s="22" t="str">
        <f t="shared" si="16"/>
        <v/>
      </c>
      <c r="K77" s="21"/>
      <c r="L77" s="22" t="str">
        <f t="shared" si="17"/>
        <v/>
      </c>
      <c r="M77" s="21"/>
      <c r="N77" s="22" t="str">
        <f t="shared" si="18"/>
        <v/>
      </c>
      <c r="O77" s="22" t="str">
        <f t="shared" si="19"/>
        <v/>
      </c>
      <c r="P77" s="11"/>
      <c r="Q77" s="17"/>
      <c r="R77" s="11"/>
      <c r="S77" s="17"/>
      <c r="T77" s="15" t="str">
        <f t="shared" si="20"/>
        <v/>
      </c>
      <c r="U77" s="11"/>
      <c r="V77" s="11"/>
    </row>
    <row r="78" spans="1:22">
      <c r="A78" s="11"/>
      <c r="B78" s="11"/>
      <c r="C78" s="19"/>
      <c r="D78" s="17"/>
      <c r="E78" s="21"/>
      <c r="F78" s="22" t="str">
        <f t="shared" si="14"/>
        <v/>
      </c>
      <c r="G78" s="21"/>
      <c r="H78" s="22" t="str">
        <f t="shared" si="15"/>
        <v/>
      </c>
      <c r="I78" s="21"/>
      <c r="J78" s="22" t="str">
        <f t="shared" si="16"/>
        <v/>
      </c>
      <c r="K78" s="21"/>
      <c r="L78" s="22" t="str">
        <f t="shared" si="17"/>
        <v/>
      </c>
      <c r="M78" s="21"/>
      <c r="N78" s="22" t="str">
        <f t="shared" si="18"/>
        <v/>
      </c>
      <c r="O78" s="22" t="str">
        <f t="shared" si="19"/>
        <v/>
      </c>
      <c r="P78" s="11"/>
      <c r="Q78" s="17"/>
      <c r="R78" s="11"/>
      <c r="S78" s="17"/>
      <c r="T78" s="15" t="str">
        <f t="shared" si="20"/>
        <v/>
      </c>
      <c r="U78" s="11"/>
      <c r="V78" s="11"/>
    </row>
    <row r="79" spans="1:22">
      <c r="A79" s="11"/>
      <c r="B79" s="11"/>
      <c r="C79" s="19"/>
      <c r="D79" s="17"/>
      <c r="E79" s="21"/>
      <c r="F79" s="22" t="str">
        <f t="shared" si="14"/>
        <v/>
      </c>
      <c r="G79" s="21"/>
      <c r="H79" s="22" t="str">
        <f t="shared" si="15"/>
        <v/>
      </c>
      <c r="I79" s="21"/>
      <c r="J79" s="22" t="str">
        <f t="shared" si="16"/>
        <v/>
      </c>
      <c r="K79" s="21"/>
      <c r="L79" s="22" t="str">
        <f t="shared" si="17"/>
        <v/>
      </c>
      <c r="M79" s="21"/>
      <c r="N79" s="22" t="str">
        <f t="shared" si="18"/>
        <v/>
      </c>
      <c r="O79" s="22" t="str">
        <f t="shared" si="19"/>
        <v/>
      </c>
      <c r="P79" s="11"/>
      <c r="Q79" s="17"/>
      <c r="R79" s="11"/>
      <c r="S79" s="17"/>
      <c r="T79" s="15" t="str">
        <f t="shared" si="20"/>
        <v/>
      </c>
      <c r="U79" s="11"/>
      <c r="V79" s="11"/>
    </row>
    <row r="80" spans="1:22">
      <c r="A80" s="11"/>
      <c r="B80" s="11"/>
      <c r="C80" s="19"/>
      <c r="D80" s="17"/>
      <c r="E80" s="21"/>
      <c r="F80" s="22" t="str">
        <f t="shared" si="14"/>
        <v/>
      </c>
      <c r="G80" s="21"/>
      <c r="H80" s="22" t="str">
        <f t="shared" si="15"/>
        <v/>
      </c>
      <c r="I80" s="21"/>
      <c r="J80" s="22" t="str">
        <f t="shared" si="16"/>
        <v/>
      </c>
      <c r="K80" s="21"/>
      <c r="L80" s="22" t="str">
        <f t="shared" si="17"/>
        <v/>
      </c>
      <c r="M80" s="21"/>
      <c r="N80" s="22" t="str">
        <f t="shared" si="18"/>
        <v/>
      </c>
      <c r="O80" s="22" t="str">
        <f t="shared" si="19"/>
        <v/>
      </c>
      <c r="P80" s="11"/>
      <c r="Q80" s="17"/>
      <c r="R80" s="11"/>
      <c r="S80" s="17"/>
      <c r="T80" s="15" t="str">
        <f t="shared" si="20"/>
        <v/>
      </c>
      <c r="U80" s="11"/>
      <c r="V80" s="11"/>
    </row>
    <row r="81" spans="1:22">
      <c r="A81" s="11"/>
      <c r="B81" s="11"/>
      <c r="C81" s="19"/>
      <c r="D81" s="17"/>
      <c r="E81" s="21"/>
      <c r="F81" s="22" t="str">
        <f t="shared" si="14"/>
        <v/>
      </c>
      <c r="G81" s="21"/>
      <c r="H81" s="22" t="str">
        <f t="shared" si="15"/>
        <v/>
      </c>
      <c r="I81" s="21"/>
      <c r="J81" s="22" t="str">
        <f t="shared" si="16"/>
        <v/>
      </c>
      <c r="K81" s="21"/>
      <c r="L81" s="22" t="str">
        <f t="shared" si="17"/>
        <v/>
      </c>
      <c r="M81" s="21"/>
      <c r="N81" s="22" t="str">
        <f t="shared" si="18"/>
        <v/>
      </c>
      <c r="O81" s="22" t="str">
        <f t="shared" si="19"/>
        <v/>
      </c>
      <c r="P81" s="11"/>
      <c r="Q81" s="17"/>
      <c r="R81" s="11"/>
      <c r="S81" s="17"/>
      <c r="T81" s="15" t="str">
        <f t="shared" si="20"/>
        <v/>
      </c>
      <c r="U81" s="11"/>
      <c r="V81" s="11"/>
    </row>
    <row r="82" spans="1:22">
      <c r="A82" s="11"/>
      <c r="B82" s="11"/>
      <c r="C82" s="19"/>
      <c r="D82" s="17"/>
      <c r="E82" s="21"/>
      <c r="F82" s="22" t="str">
        <f t="shared" si="14"/>
        <v/>
      </c>
      <c r="G82" s="21"/>
      <c r="H82" s="22" t="str">
        <f t="shared" si="15"/>
        <v/>
      </c>
      <c r="I82" s="21"/>
      <c r="J82" s="22" t="str">
        <f t="shared" si="16"/>
        <v/>
      </c>
      <c r="K82" s="21"/>
      <c r="L82" s="22" t="str">
        <f t="shared" si="17"/>
        <v/>
      </c>
      <c r="M82" s="21"/>
      <c r="N82" s="22" t="str">
        <f t="shared" si="18"/>
        <v/>
      </c>
      <c r="O82" s="22" t="str">
        <f t="shared" si="19"/>
        <v/>
      </c>
      <c r="P82" s="11"/>
      <c r="Q82" s="17"/>
      <c r="R82" s="11"/>
      <c r="S82" s="17"/>
      <c r="T82" s="15" t="str">
        <f t="shared" si="20"/>
        <v/>
      </c>
      <c r="U82" s="11"/>
      <c r="V82" s="11"/>
    </row>
    <row r="83" spans="1:22">
      <c r="A83" s="11"/>
      <c r="B83" s="11"/>
      <c r="C83" s="19"/>
      <c r="D83" s="17"/>
      <c r="E83" s="21"/>
      <c r="F83" s="22" t="str">
        <f t="shared" si="14"/>
        <v/>
      </c>
      <c r="G83" s="21"/>
      <c r="H83" s="22" t="str">
        <f t="shared" si="15"/>
        <v/>
      </c>
      <c r="I83" s="21"/>
      <c r="J83" s="22" t="str">
        <f t="shared" si="16"/>
        <v/>
      </c>
      <c r="K83" s="21"/>
      <c r="L83" s="22" t="str">
        <f t="shared" si="17"/>
        <v/>
      </c>
      <c r="M83" s="21"/>
      <c r="N83" s="22" t="str">
        <f t="shared" si="18"/>
        <v/>
      </c>
      <c r="O83" s="22" t="str">
        <f t="shared" si="19"/>
        <v/>
      </c>
      <c r="P83" s="11"/>
      <c r="Q83" s="17"/>
      <c r="R83" s="11"/>
      <c r="S83" s="17"/>
      <c r="T83" s="15" t="str">
        <f t="shared" si="20"/>
        <v/>
      </c>
      <c r="U83" s="11"/>
      <c r="V83" s="11"/>
    </row>
    <row r="84" spans="1:22">
      <c r="A84" s="11"/>
      <c r="B84" s="11"/>
      <c r="C84" s="19"/>
      <c r="D84" s="17"/>
      <c r="E84" s="21"/>
      <c r="F84" s="22" t="str">
        <f t="shared" si="14"/>
        <v/>
      </c>
      <c r="G84" s="21"/>
      <c r="H84" s="22" t="str">
        <f t="shared" si="15"/>
        <v/>
      </c>
      <c r="I84" s="21"/>
      <c r="J84" s="22" t="str">
        <f t="shared" si="16"/>
        <v/>
      </c>
      <c r="K84" s="21"/>
      <c r="L84" s="22" t="str">
        <f t="shared" si="17"/>
        <v/>
      </c>
      <c r="M84" s="21"/>
      <c r="N84" s="22" t="str">
        <f t="shared" si="18"/>
        <v/>
      </c>
      <c r="O84" s="22" t="str">
        <f t="shared" si="19"/>
        <v/>
      </c>
      <c r="P84" s="11"/>
      <c r="Q84" s="17"/>
      <c r="R84" s="11"/>
      <c r="S84" s="17"/>
      <c r="T84" s="15" t="str">
        <f t="shared" si="20"/>
        <v/>
      </c>
      <c r="U84" s="11"/>
      <c r="V84" s="11"/>
    </row>
    <row r="85" spans="1:22">
      <c r="A85" s="11"/>
      <c r="B85" s="11"/>
      <c r="C85" s="19"/>
      <c r="D85" s="17"/>
      <c r="E85" s="21"/>
      <c r="F85" s="22" t="str">
        <f t="shared" si="14"/>
        <v/>
      </c>
      <c r="G85" s="21"/>
      <c r="H85" s="22" t="str">
        <f t="shared" si="15"/>
        <v/>
      </c>
      <c r="I85" s="21"/>
      <c r="J85" s="22" t="str">
        <f t="shared" si="16"/>
        <v/>
      </c>
      <c r="K85" s="21"/>
      <c r="L85" s="22" t="str">
        <f t="shared" si="17"/>
        <v/>
      </c>
      <c r="M85" s="21"/>
      <c r="N85" s="22" t="str">
        <f t="shared" si="18"/>
        <v/>
      </c>
      <c r="O85" s="22" t="str">
        <f t="shared" si="19"/>
        <v/>
      </c>
      <c r="P85" s="11"/>
      <c r="Q85" s="17"/>
      <c r="R85" s="11"/>
      <c r="S85" s="17"/>
      <c r="T85" s="15" t="str">
        <f t="shared" si="20"/>
        <v/>
      </c>
      <c r="U85" s="11"/>
      <c r="V85" s="11"/>
    </row>
    <row r="86" spans="1:22">
      <c r="A86" s="11"/>
      <c r="B86" s="11"/>
      <c r="C86" s="19"/>
      <c r="D86" s="17"/>
      <c r="E86" s="21"/>
      <c r="F86" s="22" t="str">
        <f t="shared" si="14"/>
        <v/>
      </c>
      <c r="G86" s="21"/>
      <c r="H86" s="22" t="str">
        <f t="shared" si="15"/>
        <v/>
      </c>
      <c r="I86" s="21"/>
      <c r="J86" s="22" t="str">
        <f t="shared" si="16"/>
        <v/>
      </c>
      <c r="K86" s="21"/>
      <c r="L86" s="22" t="str">
        <f t="shared" si="17"/>
        <v/>
      </c>
      <c r="M86" s="21"/>
      <c r="N86" s="22" t="str">
        <f t="shared" si="18"/>
        <v/>
      </c>
      <c r="O86" s="22" t="str">
        <f t="shared" si="19"/>
        <v/>
      </c>
      <c r="P86" s="11"/>
      <c r="Q86" s="17"/>
      <c r="R86" s="11"/>
      <c r="S86" s="17"/>
      <c r="T86" s="15" t="str">
        <f t="shared" si="20"/>
        <v/>
      </c>
      <c r="U86" s="11"/>
      <c r="V86" s="11"/>
    </row>
    <row r="87" spans="1:22">
      <c r="A87" s="11"/>
      <c r="B87" s="11"/>
      <c r="C87" s="19"/>
      <c r="D87" s="17"/>
      <c r="E87" s="21"/>
      <c r="F87" s="22" t="str">
        <f t="shared" si="14"/>
        <v/>
      </c>
      <c r="G87" s="21"/>
      <c r="H87" s="22" t="str">
        <f t="shared" si="15"/>
        <v/>
      </c>
      <c r="I87" s="21"/>
      <c r="J87" s="22" t="str">
        <f t="shared" si="16"/>
        <v/>
      </c>
      <c r="K87" s="21"/>
      <c r="L87" s="22" t="str">
        <f t="shared" si="17"/>
        <v/>
      </c>
      <c r="M87" s="21"/>
      <c r="N87" s="22" t="str">
        <f t="shared" si="18"/>
        <v/>
      </c>
      <c r="O87" s="22" t="str">
        <f t="shared" si="19"/>
        <v/>
      </c>
      <c r="P87" s="11"/>
      <c r="Q87" s="17"/>
      <c r="R87" s="11"/>
      <c r="S87" s="17"/>
      <c r="T87" s="15" t="str">
        <f t="shared" si="20"/>
        <v/>
      </c>
      <c r="U87" s="11"/>
      <c r="V87" s="11"/>
    </row>
    <row r="88" spans="1:22">
      <c r="A88" s="11"/>
      <c r="B88" s="11"/>
      <c r="C88" s="19"/>
      <c r="D88" s="17"/>
      <c r="E88" s="21"/>
      <c r="F88" s="22" t="str">
        <f t="shared" si="14"/>
        <v/>
      </c>
      <c r="G88" s="21"/>
      <c r="H88" s="22" t="str">
        <f t="shared" si="15"/>
        <v/>
      </c>
      <c r="I88" s="21"/>
      <c r="J88" s="22" t="str">
        <f t="shared" si="16"/>
        <v/>
      </c>
      <c r="K88" s="21"/>
      <c r="L88" s="22" t="str">
        <f t="shared" si="17"/>
        <v/>
      </c>
      <c r="M88" s="21"/>
      <c r="N88" s="22" t="str">
        <f t="shared" si="18"/>
        <v/>
      </c>
      <c r="O88" s="22" t="str">
        <f t="shared" si="19"/>
        <v/>
      </c>
      <c r="P88" s="11"/>
      <c r="Q88" s="17"/>
      <c r="R88" s="11"/>
      <c r="S88" s="17"/>
      <c r="T88" s="15" t="str">
        <f t="shared" si="20"/>
        <v/>
      </c>
      <c r="U88" s="11"/>
      <c r="V88" s="11"/>
    </row>
    <row r="89" spans="1:22">
      <c r="A89" s="11"/>
      <c r="B89" s="11"/>
      <c r="C89" s="19"/>
      <c r="D89" s="17"/>
      <c r="E89" s="21"/>
      <c r="F89" s="22" t="str">
        <f t="shared" si="14"/>
        <v/>
      </c>
      <c r="G89" s="21"/>
      <c r="H89" s="22" t="str">
        <f t="shared" si="15"/>
        <v/>
      </c>
      <c r="I89" s="21"/>
      <c r="J89" s="22" t="str">
        <f t="shared" si="16"/>
        <v/>
      </c>
      <c r="K89" s="21"/>
      <c r="L89" s="22" t="str">
        <f t="shared" si="17"/>
        <v/>
      </c>
      <c r="M89" s="21"/>
      <c r="N89" s="22" t="str">
        <f t="shared" si="18"/>
        <v/>
      </c>
      <c r="O89" s="22" t="str">
        <f t="shared" si="19"/>
        <v/>
      </c>
      <c r="P89" s="11"/>
      <c r="Q89" s="17"/>
      <c r="R89" s="11"/>
      <c r="S89" s="17"/>
      <c r="T89" s="15" t="str">
        <f t="shared" si="20"/>
        <v/>
      </c>
      <c r="U89" s="11"/>
      <c r="V89" s="11"/>
    </row>
    <row r="90" spans="1:22">
      <c r="A90" s="11"/>
      <c r="B90" s="11"/>
      <c r="C90" s="19"/>
      <c r="D90" s="17"/>
      <c r="E90" s="21"/>
      <c r="F90" s="22" t="str">
        <f t="shared" si="14"/>
        <v/>
      </c>
      <c r="G90" s="21"/>
      <c r="H90" s="22" t="str">
        <f t="shared" si="15"/>
        <v/>
      </c>
      <c r="I90" s="21"/>
      <c r="J90" s="22" t="str">
        <f t="shared" si="16"/>
        <v/>
      </c>
      <c r="K90" s="21"/>
      <c r="L90" s="22" t="str">
        <f t="shared" si="17"/>
        <v/>
      </c>
      <c r="M90" s="21"/>
      <c r="N90" s="22" t="str">
        <f t="shared" si="18"/>
        <v/>
      </c>
      <c r="O90" s="22" t="str">
        <f t="shared" si="19"/>
        <v/>
      </c>
      <c r="P90" s="11"/>
      <c r="Q90" s="17"/>
      <c r="R90" s="11"/>
      <c r="S90" s="17"/>
      <c r="T90" s="15" t="str">
        <f t="shared" si="20"/>
        <v/>
      </c>
      <c r="U90" s="11"/>
      <c r="V90" s="11"/>
    </row>
    <row r="91" spans="1:22">
      <c r="A91" s="11"/>
      <c r="B91" s="11"/>
      <c r="C91" s="19"/>
      <c r="D91" s="17"/>
      <c r="E91" s="21"/>
      <c r="F91" s="22" t="str">
        <f t="shared" si="14"/>
        <v/>
      </c>
      <c r="G91" s="21"/>
      <c r="H91" s="22" t="str">
        <f t="shared" si="15"/>
        <v/>
      </c>
      <c r="I91" s="21"/>
      <c r="J91" s="22" t="str">
        <f t="shared" si="16"/>
        <v/>
      </c>
      <c r="K91" s="21"/>
      <c r="L91" s="22" t="str">
        <f t="shared" si="17"/>
        <v/>
      </c>
      <c r="M91" s="21"/>
      <c r="N91" s="22" t="str">
        <f t="shared" si="18"/>
        <v/>
      </c>
      <c r="O91" s="22" t="str">
        <f t="shared" si="19"/>
        <v/>
      </c>
      <c r="P91" s="11"/>
      <c r="Q91" s="17"/>
      <c r="R91" s="11"/>
      <c r="S91" s="17"/>
      <c r="T91" s="15" t="str">
        <f t="shared" si="20"/>
        <v/>
      </c>
      <c r="U91" s="11"/>
      <c r="V91" s="11"/>
    </row>
    <row r="92" spans="1:22">
      <c r="A92" s="11"/>
      <c r="B92" s="11"/>
      <c r="C92" s="19"/>
      <c r="D92" s="17"/>
      <c r="E92" s="21"/>
      <c r="F92" s="22" t="str">
        <f t="shared" si="14"/>
        <v/>
      </c>
      <c r="G92" s="21"/>
      <c r="H92" s="22" t="str">
        <f t="shared" si="15"/>
        <v/>
      </c>
      <c r="I92" s="21"/>
      <c r="J92" s="22" t="str">
        <f t="shared" si="16"/>
        <v/>
      </c>
      <c r="K92" s="21"/>
      <c r="L92" s="22" t="str">
        <f t="shared" si="17"/>
        <v/>
      </c>
      <c r="M92" s="21"/>
      <c r="N92" s="22" t="str">
        <f t="shared" si="18"/>
        <v/>
      </c>
      <c r="O92" s="22" t="str">
        <f t="shared" si="19"/>
        <v/>
      </c>
      <c r="P92" s="11"/>
      <c r="Q92" s="17"/>
      <c r="R92" s="11"/>
      <c r="S92" s="17"/>
      <c r="T92" s="15" t="str">
        <f t="shared" si="20"/>
        <v/>
      </c>
      <c r="U92" s="11"/>
      <c r="V92" s="11"/>
    </row>
    <row r="93" spans="1:22">
      <c r="A93" s="11"/>
      <c r="B93" s="11"/>
      <c r="C93" s="19"/>
      <c r="D93" s="17"/>
      <c r="E93" s="21"/>
      <c r="F93" s="22" t="str">
        <f t="shared" si="14"/>
        <v/>
      </c>
      <c r="G93" s="21"/>
      <c r="H93" s="22" t="str">
        <f t="shared" si="15"/>
        <v/>
      </c>
      <c r="I93" s="21"/>
      <c r="J93" s="22" t="str">
        <f t="shared" si="16"/>
        <v/>
      </c>
      <c r="K93" s="21"/>
      <c r="L93" s="22" t="str">
        <f t="shared" si="17"/>
        <v/>
      </c>
      <c r="M93" s="21"/>
      <c r="N93" s="22" t="str">
        <f t="shared" si="18"/>
        <v/>
      </c>
      <c r="O93" s="22" t="str">
        <f t="shared" si="19"/>
        <v/>
      </c>
      <c r="P93" s="11"/>
      <c r="Q93" s="17"/>
      <c r="R93" s="11"/>
      <c r="S93" s="17"/>
      <c r="T93" s="15" t="str">
        <f t="shared" si="20"/>
        <v/>
      </c>
      <c r="U93" s="11"/>
      <c r="V93" s="11"/>
    </row>
    <row r="94" spans="1:22">
      <c r="A94" s="11"/>
      <c r="B94" s="11"/>
      <c r="C94" s="19"/>
      <c r="D94" s="17"/>
      <c r="E94" s="21"/>
      <c r="F94" s="22" t="str">
        <f t="shared" si="14"/>
        <v/>
      </c>
      <c r="G94" s="21"/>
      <c r="H94" s="22" t="str">
        <f t="shared" si="15"/>
        <v/>
      </c>
      <c r="I94" s="21"/>
      <c r="J94" s="22" t="str">
        <f t="shared" si="16"/>
        <v/>
      </c>
      <c r="K94" s="21"/>
      <c r="L94" s="22" t="str">
        <f t="shared" si="17"/>
        <v/>
      </c>
      <c r="M94" s="21"/>
      <c r="N94" s="22" t="str">
        <f t="shared" si="18"/>
        <v/>
      </c>
      <c r="O94" s="22" t="str">
        <f t="shared" si="19"/>
        <v/>
      </c>
      <c r="P94" s="11"/>
      <c r="Q94" s="17"/>
      <c r="R94" s="11"/>
      <c r="S94" s="17"/>
      <c r="T94" s="15" t="str">
        <f t="shared" si="20"/>
        <v/>
      </c>
      <c r="U94" s="11"/>
      <c r="V94" s="11"/>
    </row>
    <row r="95" spans="1:22">
      <c r="A95" s="11"/>
      <c r="B95" s="11"/>
      <c r="C95" s="19"/>
      <c r="D95" s="17"/>
      <c r="E95" s="21"/>
      <c r="F95" s="22" t="str">
        <f t="shared" si="14"/>
        <v/>
      </c>
      <c r="G95" s="21"/>
      <c r="H95" s="22" t="str">
        <f t="shared" si="15"/>
        <v/>
      </c>
      <c r="I95" s="21"/>
      <c r="J95" s="22" t="str">
        <f t="shared" si="16"/>
        <v/>
      </c>
      <c r="K95" s="21"/>
      <c r="L95" s="22" t="str">
        <f t="shared" si="17"/>
        <v/>
      </c>
      <c r="M95" s="21"/>
      <c r="N95" s="22" t="str">
        <f t="shared" si="18"/>
        <v/>
      </c>
      <c r="O95" s="22" t="str">
        <f t="shared" si="19"/>
        <v/>
      </c>
      <c r="P95" s="11"/>
      <c r="Q95" s="17"/>
      <c r="R95" s="11"/>
      <c r="S95" s="17"/>
      <c r="T95" s="15" t="str">
        <f t="shared" si="20"/>
        <v/>
      </c>
      <c r="U95" s="11"/>
      <c r="V95" s="11"/>
    </row>
    <row r="96" spans="1:22">
      <c r="A96" s="11"/>
      <c r="B96" s="11"/>
      <c r="C96" s="19"/>
      <c r="D96" s="17"/>
      <c r="E96" s="21"/>
      <c r="F96" s="22" t="str">
        <f t="shared" si="14"/>
        <v/>
      </c>
      <c r="G96" s="21"/>
      <c r="H96" s="22" t="str">
        <f t="shared" si="15"/>
        <v/>
      </c>
      <c r="I96" s="21"/>
      <c r="J96" s="22" t="str">
        <f t="shared" si="16"/>
        <v/>
      </c>
      <c r="K96" s="21"/>
      <c r="L96" s="22" t="str">
        <f t="shared" si="17"/>
        <v/>
      </c>
      <c r="M96" s="21"/>
      <c r="N96" s="22" t="str">
        <f t="shared" si="18"/>
        <v/>
      </c>
      <c r="O96" s="22" t="str">
        <f t="shared" si="19"/>
        <v/>
      </c>
      <c r="P96" s="11"/>
      <c r="Q96" s="17"/>
      <c r="R96" s="11"/>
      <c r="S96" s="17"/>
      <c r="T96" s="15" t="str">
        <f t="shared" si="20"/>
        <v/>
      </c>
      <c r="U96" s="11"/>
      <c r="V96" s="11"/>
    </row>
    <row r="97" spans="1:22">
      <c r="A97" s="11"/>
      <c r="B97" s="11"/>
      <c r="C97" s="19"/>
      <c r="D97" s="17"/>
      <c r="E97" s="21"/>
      <c r="F97" s="22" t="str">
        <f t="shared" si="14"/>
        <v/>
      </c>
      <c r="G97" s="21"/>
      <c r="H97" s="22" t="str">
        <f t="shared" si="15"/>
        <v/>
      </c>
      <c r="I97" s="21"/>
      <c r="J97" s="22" t="str">
        <f t="shared" si="16"/>
        <v/>
      </c>
      <c r="K97" s="21"/>
      <c r="L97" s="22" t="str">
        <f t="shared" si="17"/>
        <v/>
      </c>
      <c r="M97" s="21"/>
      <c r="N97" s="22" t="str">
        <f t="shared" si="18"/>
        <v/>
      </c>
      <c r="O97" s="22" t="str">
        <f t="shared" si="19"/>
        <v/>
      </c>
      <c r="P97" s="11"/>
      <c r="Q97" s="17"/>
      <c r="R97" s="11"/>
      <c r="S97" s="17"/>
      <c r="T97" s="15" t="str">
        <f t="shared" si="20"/>
        <v/>
      </c>
      <c r="U97" s="11"/>
      <c r="V97" s="11"/>
    </row>
    <row r="98" spans="1:22">
      <c r="A98" s="11"/>
      <c r="B98" s="11"/>
      <c r="C98" s="19"/>
      <c r="D98" s="17"/>
      <c r="E98" s="21"/>
      <c r="F98" s="22" t="str">
        <f t="shared" si="14"/>
        <v/>
      </c>
      <c r="G98" s="21"/>
      <c r="H98" s="22" t="str">
        <f t="shared" si="15"/>
        <v/>
      </c>
      <c r="I98" s="21"/>
      <c r="J98" s="22" t="str">
        <f t="shared" si="16"/>
        <v/>
      </c>
      <c r="K98" s="21"/>
      <c r="L98" s="22" t="str">
        <f t="shared" si="17"/>
        <v/>
      </c>
      <c r="M98" s="21"/>
      <c r="N98" s="22" t="str">
        <f t="shared" si="18"/>
        <v/>
      </c>
      <c r="O98" s="22" t="str">
        <f t="shared" si="19"/>
        <v/>
      </c>
      <c r="P98" s="11"/>
      <c r="Q98" s="17"/>
      <c r="R98" s="11"/>
      <c r="S98" s="17"/>
      <c r="T98" s="15" t="str">
        <f t="shared" si="20"/>
        <v/>
      </c>
      <c r="U98" s="11"/>
      <c r="V98" s="11"/>
    </row>
    <row r="99" spans="1:22">
      <c r="A99" s="11"/>
      <c r="B99" s="11"/>
      <c r="C99" s="19"/>
      <c r="D99" s="17"/>
      <c r="E99" s="21"/>
      <c r="F99" s="22" t="str">
        <f t="shared" si="14"/>
        <v/>
      </c>
      <c r="G99" s="21"/>
      <c r="H99" s="22" t="str">
        <f t="shared" si="15"/>
        <v/>
      </c>
      <c r="I99" s="21"/>
      <c r="J99" s="22" t="str">
        <f t="shared" si="16"/>
        <v/>
      </c>
      <c r="K99" s="21"/>
      <c r="L99" s="22" t="str">
        <f t="shared" si="17"/>
        <v/>
      </c>
      <c r="M99" s="21"/>
      <c r="N99" s="22" t="str">
        <f t="shared" si="18"/>
        <v/>
      </c>
      <c r="O99" s="22" t="str">
        <f t="shared" si="19"/>
        <v/>
      </c>
      <c r="P99" s="11"/>
      <c r="Q99" s="17"/>
      <c r="R99" s="11"/>
      <c r="S99" s="17"/>
      <c r="T99" s="15" t="str">
        <f t="shared" si="20"/>
        <v/>
      </c>
      <c r="U99" s="11"/>
      <c r="V99" s="11"/>
    </row>
    <row r="100" spans="1:22">
      <c r="A100" s="11"/>
      <c r="B100" s="11"/>
      <c r="C100" s="19"/>
      <c r="D100" s="17"/>
      <c r="E100" s="21"/>
      <c r="F100" s="22" t="str">
        <f t="shared" si="14"/>
        <v/>
      </c>
      <c r="G100" s="21"/>
      <c r="H100" s="22" t="str">
        <f t="shared" si="15"/>
        <v/>
      </c>
      <c r="I100" s="21"/>
      <c r="J100" s="22" t="str">
        <f t="shared" si="16"/>
        <v/>
      </c>
      <c r="K100" s="21"/>
      <c r="L100" s="22" t="str">
        <f t="shared" si="17"/>
        <v/>
      </c>
      <c r="M100" s="21"/>
      <c r="N100" s="22" t="str">
        <f t="shared" si="18"/>
        <v/>
      </c>
      <c r="O100" s="22" t="str">
        <f t="shared" si="19"/>
        <v/>
      </c>
      <c r="P100" s="11"/>
      <c r="Q100" s="17"/>
      <c r="R100" s="11"/>
      <c r="S100" s="17"/>
      <c r="T100" s="15" t="str">
        <f t="shared" si="20"/>
        <v/>
      </c>
      <c r="U100" s="11"/>
      <c r="V100" s="11"/>
    </row>
    <row r="101" spans="1:22">
      <c r="A101" s="11"/>
      <c r="B101" s="11"/>
      <c r="C101" s="19"/>
      <c r="D101" s="17"/>
      <c r="E101" s="21"/>
      <c r="F101" s="22" t="str">
        <f t="shared" si="14"/>
        <v/>
      </c>
      <c r="G101" s="21"/>
      <c r="H101" s="22" t="str">
        <f t="shared" si="15"/>
        <v/>
      </c>
      <c r="I101" s="21"/>
      <c r="J101" s="22" t="str">
        <f t="shared" si="16"/>
        <v/>
      </c>
      <c r="K101" s="21"/>
      <c r="L101" s="22" t="str">
        <f t="shared" si="17"/>
        <v/>
      </c>
      <c r="M101" s="21"/>
      <c r="N101" s="22" t="str">
        <f t="shared" si="18"/>
        <v/>
      </c>
      <c r="O101" s="22" t="str">
        <f t="shared" si="19"/>
        <v/>
      </c>
      <c r="P101" s="11"/>
      <c r="Q101" s="17"/>
      <c r="R101" s="11"/>
      <c r="S101" s="17"/>
      <c r="T101" s="15" t="str">
        <f t="shared" si="20"/>
        <v/>
      </c>
      <c r="U101" s="11"/>
      <c r="V101" s="11"/>
    </row>
    <row r="102" spans="1:22">
      <c r="A102" s="11"/>
      <c r="B102" s="11"/>
      <c r="C102" s="19"/>
      <c r="D102" s="17"/>
      <c r="E102" s="21"/>
      <c r="F102" s="22" t="str">
        <f t="shared" ref="F102:F133" si="21">IF(E102="","",IF(E102/15&gt;=0.9,"Excelente",IF(E102/15&gt;=0.75,"Bueno",IF(E102/15&gt;=0.6,"Suficiente","Insuficiente"))))</f>
        <v/>
      </c>
      <c r="G102" s="21"/>
      <c r="H102" s="22" t="str">
        <f t="shared" ref="H102:H133" si="22">IF(G102="","",IF(G102/25&gt;=0.9,"Excelente",IF(G102/25&gt;=0.75,"Bueno",IF(G102/25&gt;=0.6,"Suficiente","Insuficiente"))))</f>
        <v/>
      </c>
      <c r="I102" s="21"/>
      <c r="J102" s="22" t="str">
        <f t="shared" ref="J102:J133" si="23">IF(I102="","",IF(I102/25&gt;=0.9,"Excelente",IF(I102/25&gt;=0.75,"Bueno",IF(I102/25&gt;=0.6,"Suficiente","Insuficiente"))))</f>
        <v/>
      </c>
      <c r="K102" s="21"/>
      <c r="L102" s="22" t="str">
        <f t="shared" ref="L102:L133" si="24">IF(K102="","",IF(K102/20&gt;=0.9,"Excelente",IF(K102/20&gt;=0.75,"Bueno",IF(K102/20&gt;=0.6,"Suficiente","Insuficiente"))))</f>
        <v/>
      </c>
      <c r="M102" s="21"/>
      <c r="N102" s="22" t="str">
        <f t="shared" ref="N102:N133" si="25">IF(M102="","",IF(M102/15&gt;=0.9,"Excelente",IF(M102/15&gt;=0.75,"Bueno",IF(M102/15&gt;=0.6,"Suficiente","Insuficiente"))))</f>
        <v/>
      </c>
      <c r="O102" s="22" t="str">
        <f t="shared" ref="O102:O125" si="26">IF(COUNT(E102,G102,I102,K102,M102)&lt;5,"",SUM(E102,G102,I102,K102,M102))</f>
        <v/>
      </c>
      <c r="P102" s="11"/>
      <c r="Q102" s="17"/>
      <c r="R102" s="11"/>
      <c r="S102" s="17"/>
      <c r="T102" s="15" t="str">
        <f t="shared" ref="T102:T133" si="27">IF(A102="","",IF(OR(D102="Sí",Q102="Sí",S102&lt;&gt;"Finalizada"),"No","Sí"))</f>
        <v/>
      </c>
      <c r="U102" s="11"/>
      <c r="V102" s="11"/>
    </row>
    <row r="103" spans="1:22">
      <c r="A103" s="11"/>
      <c r="B103" s="11"/>
      <c r="C103" s="19"/>
      <c r="D103" s="17"/>
      <c r="E103" s="21"/>
      <c r="F103" s="22" t="str">
        <f t="shared" si="21"/>
        <v/>
      </c>
      <c r="G103" s="21"/>
      <c r="H103" s="22" t="str">
        <f t="shared" si="22"/>
        <v/>
      </c>
      <c r="I103" s="21"/>
      <c r="J103" s="22" t="str">
        <f t="shared" si="23"/>
        <v/>
      </c>
      <c r="K103" s="21"/>
      <c r="L103" s="22" t="str">
        <f t="shared" si="24"/>
        <v/>
      </c>
      <c r="M103" s="21"/>
      <c r="N103" s="22" t="str">
        <f t="shared" si="25"/>
        <v/>
      </c>
      <c r="O103" s="22" t="str">
        <f t="shared" si="26"/>
        <v/>
      </c>
      <c r="P103" s="11"/>
      <c r="Q103" s="17"/>
      <c r="R103" s="11"/>
      <c r="S103" s="17"/>
      <c r="T103" s="15" t="str">
        <f t="shared" si="27"/>
        <v/>
      </c>
      <c r="U103" s="11"/>
      <c r="V103" s="11"/>
    </row>
    <row r="104" spans="1:22">
      <c r="A104" s="11"/>
      <c r="B104" s="11"/>
      <c r="C104" s="19"/>
      <c r="D104" s="17"/>
      <c r="E104" s="21"/>
      <c r="F104" s="22" t="str">
        <f t="shared" si="21"/>
        <v/>
      </c>
      <c r="G104" s="21"/>
      <c r="H104" s="22" t="str">
        <f t="shared" si="22"/>
        <v/>
      </c>
      <c r="I104" s="21"/>
      <c r="J104" s="22" t="str">
        <f t="shared" si="23"/>
        <v/>
      </c>
      <c r="K104" s="21"/>
      <c r="L104" s="22" t="str">
        <f t="shared" si="24"/>
        <v/>
      </c>
      <c r="M104" s="21"/>
      <c r="N104" s="22" t="str">
        <f t="shared" si="25"/>
        <v/>
      </c>
      <c r="O104" s="22" t="str">
        <f t="shared" si="26"/>
        <v/>
      </c>
      <c r="P104" s="11"/>
      <c r="Q104" s="17"/>
      <c r="R104" s="11"/>
      <c r="S104" s="17"/>
      <c r="T104" s="15" t="str">
        <f t="shared" si="27"/>
        <v/>
      </c>
      <c r="U104" s="11"/>
      <c r="V104" s="11"/>
    </row>
    <row r="105" spans="1:22">
      <c r="A105" s="11"/>
      <c r="B105" s="11"/>
      <c r="C105" s="19"/>
      <c r="D105" s="17"/>
      <c r="E105" s="21"/>
      <c r="F105" s="22" t="str">
        <f t="shared" si="21"/>
        <v/>
      </c>
      <c r="G105" s="21"/>
      <c r="H105" s="22" t="str">
        <f t="shared" si="22"/>
        <v/>
      </c>
      <c r="I105" s="21"/>
      <c r="J105" s="22" t="str">
        <f t="shared" si="23"/>
        <v/>
      </c>
      <c r="K105" s="21"/>
      <c r="L105" s="22" t="str">
        <f t="shared" si="24"/>
        <v/>
      </c>
      <c r="M105" s="21"/>
      <c r="N105" s="22" t="str">
        <f t="shared" si="25"/>
        <v/>
      </c>
      <c r="O105" s="22" t="str">
        <f t="shared" si="26"/>
        <v/>
      </c>
      <c r="P105" s="11"/>
      <c r="Q105" s="17"/>
      <c r="R105" s="11"/>
      <c r="S105" s="17"/>
      <c r="T105" s="15" t="str">
        <f t="shared" si="27"/>
        <v/>
      </c>
      <c r="U105" s="11"/>
      <c r="V105" s="11"/>
    </row>
    <row r="106" spans="1:22">
      <c r="A106" s="11"/>
      <c r="B106" s="11"/>
      <c r="C106" s="19"/>
      <c r="D106" s="17"/>
      <c r="E106" s="21"/>
      <c r="F106" s="22" t="str">
        <f t="shared" si="21"/>
        <v/>
      </c>
      <c r="G106" s="21"/>
      <c r="H106" s="22" t="str">
        <f t="shared" si="22"/>
        <v/>
      </c>
      <c r="I106" s="21"/>
      <c r="J106" s="22" t="str">
        <f t="shared" si="23"/>
        <v/>
      </c>
      <c r="K106" s="21"/>
      <c r="L106" s="22" t="str">
        <f t="shared" si="24"/>
        <v/>
      </c>
      <c r="M106" s="21"/>
      <c r="N106" s="22" t="str">
        <f t="shared" si="25"/>
        <v/>
      </c>
      <c r="O106" s="22" t="str">
        <f t="shared" si="26"/>
        <v/>
      </c>
      <c r="P106" s="11"/>
      <c r="Q106" s="17"/>
      <c r="R106" s="11"/>
      <c r="S106" s="17"/>
      <c r="T106" s="15" t="str">
        <f t="shared" si="27"/>
        <v/>
      </c>
      <c r="U106" s="11"/>
      <c r="V106" s="11"/>
    </row>
    <row r="107" spans="1:22">
      <c r="A107" s="11"/>
      <c r="B107" s="11"/>
      <c r="C107" s="19"/>
      <c r="D107" s="17"/>
      <c r="E107" s="21"/>
      <c r="F107" s="22" t="str">
        <f t="shared" si="21"/>
        <v/>
      </c>
      <c r="G107" s="21"/>
      <c r="H107" s="22" t="str">
        <f t="shared" si="22"/>
        <v/>
      </c>
      <c r="I107" s="21"/>
      <c r="J107" s="22" t="str">
        <f t="shared" si="23"/>
        <v/>
      </c>
      <c r="K107" s="21"/>
      <c r="L107" s="22" t="str">
        <f t="shared" si="24"/>
        <v/>
      </c>
      <c r="M107" s="21"/>
      <c r="N107" s="22" t="str">
        <f t="shared" si="25"/>
        <v/>
      </c>
      <c r="O107" s="22" t="str">
        <f t="shared" si="26"/>
        <v/>
      </c>
      <c r="P107" s="11"/>
      <c r="Q107" s="17"/>
      <c r="R107" s="11"/>
      <c r="S107" s="17"/>
      <c r="T107" s="15" t="str">
        <f t="shared" si="27"/>
        <v/>
      </c>
      <c r="U107" s="11"/>
      <c r="V107" s="11"/>
    </row>
    <row r="108" spans="1:22">
      <c r="A108" s="11"/>
      <c r="B108" s="11"/>
      <c r="C108" s="19"/>
      <c r="D108" s="17"/>
      <c r="E108" s="21"/>
      <c r="F108" s="22" t="str">
        <f t="shared" si="21"/>
        <v/>
      </c>
      <c r="G108" s="21"/>
      <c r="H108" s="22" t="str">
        <f t="shared" si="22"/>
        <v/>
      </c>
      <c r="I108" s="21"/>
      <c r="J108" s="22" t="str">
        <f t="shared" si="23"/>
        <v/>
      </c>
      <c r="K108" s="21"/>
      <c r="L108" s="22" t="str">
        <f t="shared" si="24"/>
        <v/>
      </c>
      <c r="M108" s="21"/>
      <c r="N108" s="22" t="str">
        <f t="shared" si="25"/>
        <v/>
      </c>
      <c r="O108" s="22" t="str">
        <f t="shared" si="26"/>
        <v/>
      </c>
      <c r="P108" s="11"/>
      <c r="Q108" s="17"/>
      <c r="R108" s="11"/>
      <c r="S108" s="17"/>
      <c r="T108" s="15" t="str">
        <f t="shared" si="27"/>
        <v/>
      </c>
      <c r="U108" s="11"/>
      <c r="V108" s="11"/>
    </row>
    <row r="109" spans="1:22">
      <c r="A109" s="11"/>
      <c r="B109" s="11"/>
      <c r="C109" s="19"/>
      <c r="D109" s="17"/>
      <c r="E109" s="21"/>
      <c r="F109" s="22" t="str">
        <f t="shared" si="21"/>
        <v/>
      </c>
      <c r="G109" s="21"/>
      <c r="H109" s="22" t="str">
        <f t="shared" si="22"/>
        <v/>
      </c>
      <c r="I109" s="21"/>
      <c r="J109" s="22" t="str">
        <f t="shared" si="23"/>
        <v/>
      </c>
      <c r="K109" s="21"/>
      <c r="L109" s="22" t="str">
        <f t="shared" si="24"/>
        <v/>
      </c>
      <c r="M109" s="21"/>
      <c r="N109" s="22" t="str">
        <f t="shared" si="25"/>
        <v/>
      </c>
      <c r="O109" s="22" t="str">
        <f t="shared" si="26"/>
        <v/>
      </c>
      <c r="P109" s="11"/>
      <c r="Q109" s="17"/>
      <c r="R109" s="11"/>
      <c r="S109" s="17"/>
      <c r="T109" s="15" t="str">
        <f t="shared" si="27"/>
        <v/>
      </c>
      <c r="U109" s="11"/>
      <c r="V109" s="11"/>
    </row>
    <row r="110" spans="1:22">
      <c r="A110" s="11"/>
      <c r="B110" s="11"/>
      <c r="C110" s="19"/>
      <c r="D110" s="17"/>
      <c r="E110" s="21"/>
      <c r="F110" s="22" t="str">
        <f t="shared" si="21"/>
        <v/>
      </c>
      <c r="G110" s="21"/>
      <c r="H110" s="22" t="str">
        <f t="shared" si="22"/>
        <v/>
      </c>
      <c r="I110" s="21"/>
      <c r="J110" s="22" t="str">
        <f t="shared" si="23"/>
        <v/>
      </c>
      <c r="K110" s="21"/>
      <c r="L110" s="22" t="str">
        <f t="shared" si="24"/>
        <v/>
      </c>
      <c r="M110" s="21"/>
      <c r="N110" s="22" t="str">
        <f t="shared" si="25"/>
        <v/>
      </c>
      <c r="O110" s="22" t="str">
        <f t="shared" si="26"/>
        <v/>
      </c>
      <c r="P110" s="11"/>
      <c r="Q110" s="17"/>
      <c r="R110" s="11"/>
      <c r="S110" s="17"/>
      <c r="T110" s="15" t="str">
        <f t="shared" si="27"/>
        <v/>
      </c>
      <c r="U110" s="11"/>
      <c r="V110" s="11"/>
    </row>
    <row r="111" spans="1:22">
      <c r="A111" s="11"/>
      <c r="B111" s="11"/>
      <c r="C111" s="19"/>
      <c r="D111" s="17"/>
      <c r="E111" s="21"/>
      <c r="F111" s="22" t="str">
        <f t="shared" si="21"/>
        <v/>
      </c>
      <c r="G111" s="21"/>
      <c r="H111" s="22" t="str">
        <f t="shared" si="22"/>
        <v/>
      </c>
      <c r="I111" s="21"/>
      <c r="J111" s="22" t="str">
        <f t="shared" si="23"/>
        <v/>
      </c>
      <c r="K111" s="21"/>
      <c r="L111" s="22" t="str">
        <f t="shared" si="24"/>
        <v/>
      </c>
      <c r="M111" s="21"/>
      <c r="N111" s="22" t="str">
        <f t="shared" si="25"/>
        <v/>
      </c>
      <c r="O111" s="22" t="str">
        <f t="shared" si="26"/>
        <v/>
      </c>
      <c r="P111" s="11"/>
      <c r="Q111" s="17"/>
      <c r="R111" s="11"/>
      <c r="S111" s="17"/>
      <c r="T111" s="15" t="str">
        <f t="shared" si="27"/>
        <v/>
      </c>
      <c r="U111" s="11"/>
      <c r="V111" s="11"/>
    </row>
    <row r="112" spans="1:22">
      <c r="A112" s="11"/>
      <c r="B112" s="11"/>
      <c r="C112" s="19"/>
      <c r="D112" s="17"/>
      <c r="E112" s="21"/>
      <c r="F112" s="22" t="str">
        <f t="shared" si="21"/>
        <v/>
      </c>
      <c r="G112" s="21"/>
      <c r="H112" s="22" t="str">
        <f t="shared" si="22"/>
        <v/>
      </c>
      <c r="I112" s="21"/>
      <c r="J112" s="22" t="str">
        <f t="shared" si="23"/>
        <v/>
      </c>
      <c r="K112" s="21"/>
      <c r="L112" s="22" t="str">
        <f t="shared" si="24"/>
        <v/>
      </c>
      <c r="M112" s="21"/>
      <c r="N112" s="22" t="str">
        <f t="shared" si="25"/>
        <v/>
      </c>
      <c r="O112" s="22" t="str">
        <f t="shared" si="26"/>
        <v/>
      </c>
      <c r="P112" s="11"/>
      <c r="Q112" s="17"/>
      <c r="R112" s="11"/>
      <c r="S112" s="17"/>
      <c r="T112" s="15" t="str">
        <f t="shared" si="27"/>
        <v/>
      </c>
      <c r="U112" s="11"/>
      <c r="V112" s="11"/>
    </row>
    <row r="113" spans="1:22">
      <c r="A113" s="11"/>
      <c r="B113" s="11"/>
      <c r="C113" s="19"/>
      <c r="D113" s="17"/>
      <c r="E113" s="21"/>
      <c r="F113" s="22" t="str">
        <f t="shared" si="21"/>
        <v/>
      </c>
      <c r="G113" s="21"/>
      <c r="H113" s="22" t="str">
        <f t="shared" si="22"/>
        <v/>
      </c>
      <c r="I113" s="21"/>
      <c r="J113" s="22" t="str">
        <f t="shared" si="23"/>
        <v/>
      </c>
      <c r="K113" s="21"/>
      <c r="L113" s="22" t="str">
        <f t="shared" si="24"/>
        <v/>
      </c>
      <c r="M113" s="21"/>
      <c r="N113" s="22" t="str">
        <f t="shared" si="25"/>
        <v/>
      </c>
      <c r="O113" s="22" t="str">
        <f t="shared" si="26"/>
        <v/>
      </c>
      <c r="P113" s="11"/>
      <c r="Q113" s="17"/>
      <c r="R113" s="11"/>
      <c r="S113" s="17"/>
      <c r="T113" s="15" t="str">
        <f t="shared" si="27"/>
        <v/>
      </c>
      <c r="U113" s="11"/>
      <c r="V113" s="11"/>
    </row>
    <row r="114" spans="1:22">
      <c r="A114" s="11"/>
      <c r="B114" s="11"/>
      <c r="C114" s="19"/>
      <c r="D114" s="17"/>
      <c r="E114" s="21"/>
      <c r="F114" s="22" t="str">
        <f t="shared" si="21"/>
        <v/>
      </c>
      <c r="G114" s="21"/>
      <c r="H114" s="22" t="str">
        <f t="shared" si="22"/>
        <v/>
      </c>
      <c r="I114" s="21"/>
      <c r="J114" s="22" t="str">
        <f t="shared" si="23"/>
        <v/>
      </c>
      <c r="K114" s="21"/>
      <c r="L114" s="22" t="str">
        <f t="shared" si="24"/>
        <v/>
      </c>
      <c r="M114" s="21"/>
      <c r="N114" s="22" t="str">
        <f t="shared" si="25"/>
        <v/>
      </c>
      <c r="O114" s="22" t="str">
        <f t="shared" si="26"/>
        <v/>
      </c>
      <c r="P114" s="11"/>
      <c r="Q114" s="17"/>
      <c r="R114" s="11"/>
      <c r="S114" s="17"/>
      <c r="T114" s="15" t="str">
        <f t="shared" si="27"/>
        <v/>
      </c>
      <c r="U114" s="11"/>
      <c r="V114" s="11"/>
    </row>
    <row r="115" spans="1:22">
      <c r="A115" s="11"/>
      <c r="B115" s="11"/>
      <c r="C115" s="19"/>
      <c r="D115" s="17"/>
      <c r="E115" s="21"/>
      <c r="F115" s="22" t="str">
        <f t="shared" si="21"/>
        <v/>
      </c>
      <c r="G115" s="21"/>
      <c r="H115" s="22" t="str">
        <f t="shared" si="22"/>
        <v/>
      </c>
      <c r="I115" s="21"/>
      <c r="J115" s="22" t="str">
        <f t="shared" si="23"/>
        <v/>
      </c>
      <c r="K115" s="21"/>
      <c r="L115" s="22" t="str">
        <f t="shared" si="24"/>
        <v/>
      </c>
      <c r="M115" s="21"/>
      <c r="N115" s="22" t="str">
        <f t="shared" si="25"/>
        <v/>
      </c>
      <c r="O115" s="22" t="str">
        <f t="shared" si="26"/>
        <v/>
      </c>
      <c r="P115" s="11"/>
      <c r="Q115" s="17"/>
      <c r="R115" s="11"/>
      <c r="S115" s="17"/>
      <c r="T115" s="15" t="str">
        <f t="shared" si="27"/>
        <v/>
      </c>
      <c r="U115" s="11"/>
      <c r="V115" s="11"/>
    </row>
    <row r="116" spans="1:22">
      <c r="A116" s="11"/>
      <c r="B116" s="11"/>
      <c r="C116" s="19"/>
      <c r="D116" s="17"/>
      <c r="E116" s="21"/>
      <c r="F116" s="22" t="str">
        <f t="shared" si="21"/>
        <v/>
      </c>
      <c r="G116" s="21"/>
      <c r="H116" s="22" t="str">
        <f t="shared" si="22"/>
        <v/>
      </c>
      <c r="I116" s="21"/>
      <c r="J116" s="22" t="str">
        <f t="shared" si="23"/>
        <v/>
      </c>
      <c r="K116" s="21"/>
      <c r="L116" s="22" t="str">
        <f t="shared" si="24"/>
        <v/>
      </c>
      <c r="M116" s="21"/>
      <c r="N116" s="22" t="str">
        <f t="shared" si="25"/>
        <v/>
      </c>
      <c r="O116" s="22" t="str">
        <f t="shared" si="26"/>
        <v/>
      </c>
      <c r="P116" s="11"/>
      <c r="Q116" s="17"/>
      <c r="R116" s="11"/>
      <c r="S116" s="17"/>
      <c r="T116" s="15" t="str">
        <f t="shared" si="27"/>
        <v/>
      </c>
      <c r="U116" s="11"/>
      <c r="V116" s="11"/>
    </row>
    <row r="117" spans="1:22">
      <c r="A117" s="11"/>
      <c r="B117" s="11"/>
      <c r="C117" s="19"/>
      <c r="D117" s="17"/>
      <c r="E117" s="21"/>
      <c r="F117" s="22" t="str">
        <f t="shared" si="21"/>
        <v/>
      </c>
      <c r="G117" s="21"/>
      <c r="H117" s="22" t="str">
        <f t="shared" si="22"/>
        <v/>
      </c>
      <c r="I117" s="21"/>
      <c r="J117" s="22" t="str">
        <f t="shared" si="23"/>
        <v/>
      </c>
      <c r="K117" s="21"/>
      <c r="L117" s="22" t="str">
        <f t="shared" si="24"/>
        <v/>
      </c>
      <c r="M117" s="21"/>
      <c r="N117" s="22" t="str">
        <f t="shared" si="25"/>
        <v/>
      </c>
      <c r="O117" s="22" t="str">
        <f t="shared" si="26"/>
        <v/>
      </c>
      <c r="P117" s="11"/>
      <c r="Q117" s="17"/>
      <c r="R117" s="11"/>
      <c r="S117" s="17"/>
      <c r="T117" s="15" t="str">
        <f t="shared" si="27"/>
        <v/>
      </c>
      <c r="U117" s="11"/>
      <c r="V117" s="11"/>
    </row>
    <row r="118" spans="1:22">
      <c r="A118" s="11"/>
      <c r="B118" s="11"/>
      <c r="C118" s="19"/>
      <c r="D118" s="17"/>
      <c r="E118" s="21"/>
      <c r="F118" s="22" t="str">
        <f t="shared" si="21"/>
        <v/>
      </c>
      <c r="G118" s="21"/>
      <c r="H118" s="22" t="str">
        <f t="shared" si="22"/>
        <v/>
      </c>
      <c r="I118" s="21"/>
      <c r="J118" s="22" t="str">
        <f t="shared" si="23"/>
        <v/>
      </c>
      <c r="K118" s="21"/>
      <c r="L118" s="22" t="str">
        <f t="shared" si="24"/>
        <v/>
      </c>
      <c r="M118" s="21"/>
      <c r="N118" s="22" t="str">
        <f t="shared" si="25"/>
        <v/>
      </c>
      <c r="O118" s="22" t="str">
        <f t="shared" si="26"/>
        <v/>
      </c>
      <c r="P118" s="11"/>
      <c r="Q118" s="17"/>
      <c r="R118" s="11"/>
      <c r="S118" s="17"/>
      <c r="T118" s="15" t="str">
        <f t="shared" si="27"/>
        <v/>
      </c>
      <c r="U118" s="11"/>
      <c r="V118" s="11"/>
    </row>
    <row r="119" spans="1:22">
      <c r="A119" s="11"/>
      <c r="B119" s="11"/>
      <c r="C119" s="19"/>
      <c r="D119" s="17"/>
      <c r="E119" s="21"/>
      <c r="F119" s="22" t="str">
        <f t="shared" si="21"/>
        <v/>
      </c>
      <c r="G119" s="21"/>
      <c r="H119" s="22" t="str">
        <f t="shared" si="22"/>
        <v/>
      </c>
      <c r="I119" s="21"/>
      <c r="J119" s="22" t="str">
        <f t="shared" si="23"/>
        <v/>
      </c>
      <c r="K119" s="21"/>
      <c r="L119" s="22" t="str">
        <f t="shared" si="24"/>
        <v/>
      </c>
      <c r="M119" s="21"/>
      <c r="N119" s="22" t="str">
        <f t="shared" si="25"/>
        <v/>
      </c>
      <c r="O119" s="22" t="str">
        <f t="shared" si="26"/>
        <v/>
      </c>
      <c r="P119" s="11"/>
      <c r="Q119" s="17"/>
      <c r="R119" s="11"/>
      <c r="S119" s="17"/>
      <c r="T119" s="15" t="str">
        <f t="shared" si="27"/>
        <v/>
      </c>
      <c r="U119" s="11"/>
      <c r="V119" s="11"/>
    </row>
    <row r="120" spans="1:22">
      <c r="A120" s="11"/>
      <c r="B120" s="11"/>
      <c r="C120" s="19"/>
      <c r="D120" s="17"/>
      <c r="E120" s="21"/>
      <c r="F120" s="22" t="str">
        <f t="shared" si="21"/>
        <v/>
      </c>
      <c r="G120" s="21"/>
      <c r="H120" s="22" t="str">
        <f t="shared" si="22"/>
        <v/>
      </c>
      <c r="I120" s="21"/>
      <c r="J120" s="22" t="str">
        <f t="shared" si="23"/>
        <v/>
      </c>
      <c r="K120" s="21"/>
      <c r="L120" s="22" t="str">
        <f t="shared" si="24"/>
        <v/>
      </c>
      <c r="M120" s="21"/>
      <c r="N120" s="22" t="str">
        <f t="shared" si="25"/>
        <v/>
      </c>
      <c r="O120" s="22" t="str">
        <f t="shared" si="26"/>
        <v/>
      </c>
      <c r="P120" s="11"/>
      <c r="Q120" s="17"/>
      <c r="R120" s="11"/>
      <c r="S120" s="17"/>
      <c r="T120" s="15" t="str">
        <f t="shared" si="27"/>
        <v/>
      </c>
      <c r="U120" s="11"/>
      <c r="V120" s="11"/>
    </row>
    <row r="121" spans="1:22">
      <c r="A121" s="11"/>
      <c r="B121" s="11"/>
      <c r="C121" s="19"/>
      <c r="D121" s="17"/>
      <c r="E121" s="21"/>
      <c r="F121" s="22" t="str">
        <f t="shared" si="21"/>
        <v/>
      </c>
      <c r="G121" s="21"/>
      <c r="H121" s="22" t="str">
        <f t="shared" si="22"/>
        <v/>
      </c>
      <c r="I121" s="21"/>
      <c r="J121" s="22" t="str">
        <f t="shared" si="23"/>
        <v/>
      </c>
      <c r="K121" s="21"/>
      <c r="L121" s="22" t="str">
        <f t="shared" si="24"/>
        <v/>
      </c>
      <c r="M121" s="21"/>
      <c r="N121" s="22" t="str">
        <f t="shared" si="25"/>
        <v/>
      </c>
      <c r="O121" s="22" t="str">
        <f t="shared" si="26"/>
        <v/>
      </c>
      <c r="P121" s="11"/>
      <c r="Q121" s="17"/>
      <c r="R121" s="11"/>
      <c r="S121" s="17"/>
      <c r="T121" s="15" t="str">
        <f t="shared" si="27"/>
        <v/>
      </c>
      <c r="U121" s="11"/>
      <c r="V121" s="11"/>
    </row>
    <row r="122" spans="1:22">
      <c r="A122" s="11"/>
      <c r="B122" s="11"/>
      <c r="C122" s="19"/>
      <c r="D122" s="17"/>
      <c r="E122" s="21"/>
      <c r="F122" s="22" t="str">
        <f t="shared" si="21"/>
        <v/>
      </c>
      <c r="G122" s="21"/>
      <c r="H122" s="22" t="str">
        <f t="shared" si="22"/>
        <v/>
      </c>
      <c r="I122" s="21"/>
      <c r="J122" s="22" t="str">
        <f t="shared" si="23"/>
        <v/>
      </c>
      <c r="K122" s="21"/>
      <c r="L122" s="22" t="str">
        <f t="shared" si="24"/>
        <v/>
      </c>
      <c r="M122" s="21"/>
      <c r="N122" s="22" t="str">
        <f t="shared" si="25"/>
        <v/>
      </c>
      <c r="O122" s="22" t="str">
        <f t="shared" si="26"/>
        <v/>
      </c>
      <c r="P122" s="11"/>
      <c r="Q122" s="17"/>
      <c r="R122" s="11"/>
      <c r="S122" s="17"/>
      <c r="T122" s="15" t="str">
        <f t="shared" si="27"/>
        <v/>
      </c>
      <c r="U122" s="11"/>
      <c r="V122" s="11"/>
    </row>
    <row r="123" spans="1:22">
      <c r="A123" s="11"/>
      <c r="B123" s="11"/>
      <c r="C123" s="19"/>
      <c r="D123" s="17"/>
      <c r="E123" s="21"/>
      <c r="F123" s="22" t="str">
        <f t="shared" si="21"/>
        <v/>
      </c>
      <c r="G123" s="21"/>
      <c r="H123" s="22" t="str">
        <f t="shared" si="22"/>
        <v/>
      </c>
      <c r="I123" s="21"/>
      <c r="J123" s="22" t="str">
        <f t="shared" si="23"/>
        <v/>
      </c>
      <c r="K123" s="21"/>
      <c r="L123" s="22" t="str">
        <f t="shared" si="24"/>
        <v/>
      </c>
      <c r="M123" s="21"/>
      <c r="N123" s="22" t="str">
        <f t="shared" si="25"/>
        <v/>
      </c>
      <c r="O123" s="22" t="str">
        <f t="shared" si="26"/>
        <v/>
      </c>
      <c r="P123" s="11"/>
      <c r="Q123" s="17"/>
      <c r="R123" s="11"/>
      <c r="S123" s="17"/>
      <c r="T123" s="15" t="str">
        <f t="shared" si="27"/>
        <v/>
      </c>
      <c r="U123" s="11"/>
      <c r="V123" s="11"/>
    </row>
    <row r="124" spans="1:22">
      <c r="A124" s="11"/>
      <c r="B124" s="11"/>
      <c r="C124" s="19"/>
      <c r="D124" s="17"/>
      <c r="E124" s="21"/>
      <c r="F124" s="22" t="str">
        <f t="shared" si="21"/>
        <v/>
      </c>
      <c r="G124" s="21"/>
      <c r="H124" s="22" t="str">
        <f t="shared" si="22"/>
        <v/>
      </c>
      <c r="I124" s="21"/>
      <c r="J124" s="22" t="str">
        <f t="shared" si="23"/>
        <v/>
      </c>
      <c r="K124" s="21"/>
      <c r="L124" s="22" t="str">
        <f t="shared" si="24"/>
        <v/>
      </c>
      <c r="M124" s="21"/>
      <c r="N124" s="22" t="str">
        <f t="shared" si="25"/>
        <v/>
      </c>
      <c r="O124" s="22" t="str">
        <f t="shared" si="26"/>
        <v/>
      </c>
      <c r="P124" s="11"/>
      <c r="Q124" s="17"/>
      <c r="R124" s="11"/>
      <c r="S124" s="17"/>
      <c r="T124" s="15" t="str">
        <f t="shared" si="27"/>
        <v/>
      </c>
      <c r="U124" s="11"/>
      <c r="V124" s="11"/>
    </row>
    <row r="125" spans="1:22">
      <c r="A125" s="12"/>
      <c r="B125" s="12"/>
      <c r="C125" s="20"/>
      <c r="D125" s="18"/>
      <c r="E125" s="23"/>
      <c r="F125" s="24" t="str">
        <f t="shared" si="21"/>
        <v/>
      </c>
      <c r="G125" s="23"/>
      <c r="H125" s="24" t="str">
        <f t="shared" si="22"/>
        <v/>
      </c>
      <c r="I125" s="23"/>
      <c r="J125" s="24" t="str">
        <f t="shared" si="23"/>
        <v/>
      </c>
      <c r="K125" s="23"/>
      <c r="L125" s="24" t="str">
        <f t="shared" si="24"/>
        <v/>
      </c>
      <c r="M125" s="23"/>
      <c r="N125" s="24" t="str">
        <f t="shared" si="25"/>
        <v/>
      </c>
      <c r="O125" s="24" t="str">
        <f t="shared" si="26"/>
        <v/>
      </c>
      <c r="P125" s="12"/>
      <c r="Q125" s="18"/>
      <c r="R125" s="12"/>
      <c r="S125" s="18"/>
      <c r="T125" s="16" t="str">
        <f t="shared" si="27"/>
        <v/>
      </c>
      <c r="U125" s="12"/>
      <c r="V125" s="12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9">
      <c r="A128" s="36" t="s">
        <v>61</v>
      </c>
      <c r="B128" s="36"/>
      <c r="C128" s="36"/>
      <c r="D128" s="3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7.75">
      <c r="A129" s="29" t="s">
        <v>62</v>
      </c>
      <c r="B129" s="29" t="s">
        <v>63</v>
      </c>
      <c r="C129" s="29" t="s">
        <v>64</v>
      </c>
      <c r="D129" s="29" t="s">
        <v>65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1.5">
      <c r="A130" s="5" t="s">
        <v>66</v>
      </c>
      <c r="B130" s="5">
        <v>15</v>
      </c>
      <c r="C130" s="5" t="s">
        <v>67</v>
      </c>
      <c r="D130" s="5" t="s">
        <v>68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1.5">
      <c r="A131" s="5" t="s">
        <v>69</v>
      </c>
      <c r="B131" s="5">
        <v>25</v>
      </c>
      <c r="C131" s="5" t="s">
        <v>70</v>
      </c>
      <c r="D131" s="5" t="s">
        <v>68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08">
      <c r="A132" s="5" t="s">
        <v>71</v>
      </c>
      <c r="B132" s="5">
        <v>25</v>
      </c>
      <c r="C132" s="5" t="s">
        <v>72</v>
      </c>
      <c r="D132" s="5" t="s">
        <v>68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5">
      <c r="A133" s="5" t="s">
        <v>73</v>
      </c>
      <c r="B133" s="5">
        <v>20</v>
      </c>
      <c r="C133" s="5" t="s">
        <v>74</v>
      </c>
      <c r="D133" s="5" t="s">
        <v>68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1.5">
      <c r="A134" s="30" t="s">
        <v>75</v>
      </c>
      <c r="B134" s="30">
        <v>15</v>
      </c>
      <c r="C134" s="30" t="s">
        <v>76</v>
      </c>
      <c r="D134" s="30" t="s">
        <v>68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3">
    <mergeCell ref="A1:V2"/>
    <mergeCell ref="A3:V3"/>
    <mergeCell ref="A128:D128"/>
  </mergeCells>
  <conditionalFormatting sqref="D6:D125">
    <cfRule type="expression" dxfId="11" priority="2">
      <formula>D6="Sí"</formula>
    </cfRule>
  </conditionalFormatting>
  <conditionalFormatting sqref="O6:O125">
    <cfRule type="colorScale" priority="1">
      <colorScale>
        <cfvo type="min"/>
        <cfvo type="percentile" val="50"/>
        <cfvo type="max"/>
        <color rgb="FFFDE2E2"/>
        <color rgb="FFFFF1C7"/>
        <color rgb="FFDDF3E7"/>
      </colorScale>
    </cfRule>
  </conditionalFormatting>
  <conditionalFormatting sqref="Q6:Q125">
    <cfRule type="expression" dxfId="10" priority="3">
      <formula>Q6="Sí"</formula>
    </cfRule>
  </conditionalFormatting>
  <conditionalFormatting sqref="T6:T125">
    <cfRule type="expression" dxfId="9" priority="4">
      <formula>T6="Sí"</formula>
    </cfRule>
    <cfRule type="expression" dxfId="8" priority="5">
      <formula>T6="No"</formula>
    </cfRule>
  </conditionalFormatting>
  <dataValidations count="5">
    <dataValidation type="list" sqref="D6:D125 Q6:Q125" xr:uid="{00000000-0002-0000-0100-000000000000}">
      <formula1>"No,Sí"</formula1>
    </dataValidation>
    <dataValidation type="list" sqref="S6:S125" xr:uid="{00000000-0002-0000-0100-000002000000}">
      <formula1>"En captura,Finalizada"</formula1>
    </dataValidation>
    <dataValidation type="decimal" sqref="E6:E125 M6:M125" xr:uid="{00000000-0002-0000-0100-000003000000}">
      <formula1>0</formula1>
      <formula2>15</formula2>
    </dataValidation>
    <dataValidation type="decimal" sqref="G6:G125 I6:I125" xr:uid="{00000000-0002-0000-0100-000004000000}">
      <formula1>0</formula1>
      <formula2>25</formula2>
    </dataValidation>
    <dataValidation type="decimal" sqref="K6:K125" xr:uid="{00000000-0002-0000-0100-000006000000}">
      <formula1>0</formula1>
      <formula2>20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0"/>
  <sheetViews>
    <sheetView workbookViewId="0">
      <selection sqref="A1:V2"/>
    </sheetView>
  </sheetViews>
  <sheetFormatPr baseColWidth="10" defaultColWidth="9" defaultRowHeight="13.5"/>
  <cols>
    <col min="1" max="1" width="15" customWidth="1"/>
    <col min="2" max="2" width="20" customWidth="1"/>
    <col min="3" max="3" width="12" customWidth="1"/>
    <col min="4" max="4" width="16" customWidth="1"/>
    <col min="5" max="5" width="11" customWidth="1"/>
    <col min="6" max="6" width="13" customWidth="1"/>
    <col min="7" max="7" width="11" customWidth="1"/>
    <col min="8" max="8" width="13" customWidth="1"/>
    <col min="9" max="9" width="11" customWidth="1"/>
    <col min="10" max="10" width="13" customWidth="1"/>
    <col min="11" max="11" width="11" customWidth="1"/>
    <col min="12" max="12" width="13" customWidth="1"/>
    <col min="13" max="13" width="11" customWidth="1"/>
    <col min="14" max="14" width="13" customWidth="1"/>
    <col min="15" max="15" width="10" customWidth="1"/>
    <col min="16" max="16" width="36" customWidth="1"/>
    <col min="17" max="17" width="15" customWidth="1"/>
    <col min="18" max="18" width="34" customWidth="1"/>
    <col min="19" max="20" width="14" customWidth="1"/>
    <col min="21" max="21" width="23" customWidth="1"/>
    <col min="22" max="22" width="32" customWidth="1"/>
  </cols>
  <sheetData>
    <row r="1" spans="1:22">
      <c r="A1" s="34" t="s">
        <v>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ht="13.9">
      <c r="A3" s="35" t="s">
        <v>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" customHeight="1">
      <c r="A5" s="28" t="s">
        <v>39</v>
      </c>
      <c r="B5" s="28" t="s">
        <v>40</v>
      </c>
      <c r="C5" s="28" t="s">
        <v>41</v>
      </c>
      <c r="D5" s="28" t="s">
        <v>42</v>
      </c>
      <c r="E5" s="28" t="s">
        <v>78</v>
      </c>
      <c r="F5" s="28" t="s">
        <v>44</v>
      </c>
      <c r="G5" s="28" t="s">
        <v>45</v>
      </c>
      <c r="H5" s="28" t="s">
        <v>46</v>
      </c>
      <c r="I5" s="28" t="s">
        <v>79</v>
      </c>
      <c r="J5" s="28" t="s">
        <v>48</v>
      </c>
      <c r="K5" s="28" t="s">
        <v>49</v>
      </c>
      <c r="L5" s="28" t="s">
        <v>50</v>
      </c>
      <c r="M5" s="28" t="s">
        <v>80</v>
      </c>
      <c r="N5" s="28" t="s">
        <v>52</v>
      </c>
      <c r="O5" s="28" t="s">
        <v>53</v>
      </c>
      <c r="P5" s="28" t="s">
        <v>54</v>
      </c>
      <c r="Q5" s="28" t="s">
        <v>55</v>
      </c>
      <c r="R5" s="28" t="s">
        <v>56</v>
      </c>
      <c r="S5" s="28" t="s">
        <v>57</v>
      </c>
      <c r="T5" s="28" t="s">
        <v>58</v>
      </c>
      <c r="U5" s="28" t="s">
        <v>59</v>
      </c>
      <c r="V5" s="28" t="s">
        <v>60</v>
      </c>
    </row>
    <row r="6" spans="1:22">
      <c r="A6" s="11"/>
      <c r="B6" s="11"/>
      <c r="C6" s="19"/>
      <c r="D6" s="17"/>
      <c r="E6" s="21"/>
      <c r="F6" s="22" t="str">
        <f t="shared" ref="F6:F37" si="0">IF(E6="","",IF(E6/25&gt;=0.9,"Excelente",IF(E6/25&gt;=0.75,"Bueno",IF(E6/25&gt;=0.6,"Suficiente","Insuficiente"))))</f>
        <v/>
      </c>
      <c r="G6" s="21"/>
      <c r="H6" s="22" t="str">
        <f t="shared" ref="H6:H37" si="1">IF(G6="","",IF(G6/25&gt;=0.9,"Excelente",IF(G6/25&gt;=0.75,"Bueno",IF(G6/25&gt;=0.6,"Suficiente","Insuficiente"))))</f>
        <v/>
      </c>
      <c r="I6" s="21"/>
      <c r="J6" s="22" t="str">
        <f t="shared" ref="J6:J37" si="2">IF(I6="","",IF(I6/20&gt;=0.9,"Excelente",IF(I6/20&gt;=0.75,"Bueno",IF(I6/20&gt;=0.6,"Suficiente","Insuficiente"))))</f>
        <v/>
      </c>
      <c r="K6" s="21"/>
      <c r="L6" s="22" t="str">
        <f t="shared" ref="L6:L37" si="3">IF(K6="","",IF(K6/20&gt;=0.9,"Excelente",IF(K6/20&gt;=0.75,"Bueno",IF(K6/20&gt;=0.6,"Suficiente","Insuficiente"))))</f>
        <v/>
      </c>
      <c r="M6" s="21"/>
      <c r="N6" s="22" t="str">
        <f t="shared" ref="N6:N37" si="4">IF(M6="","",IF(M6/10&gt;=0.9,"Excelente",IF(M6/10&gt;=0.75,"Bueno",IF(M6/10&gt;=0.6,"Suficiente","Insuficiente"))))</f>
        <v/>
      </c>
      <c r="O6" s="22" t="str">
        <f t="shared" ref="O6:O37" si="5">IF(COUNT(E6,G6,I6,K6,M6)&lt;5,"",SUM(E6,G6,I6,K6,M6))</f>
        <v/>
      </c>
      <c r="P6" s="11"/>
      <c r="Q6" s="17"/>
      <c r="R6" s="11"/>
      <c r="S6" s="17"/>
      <c r="T6" s="15" t="str">
        <f t="shared" ref="T6:T37" si="6">IF(A6="","",IF(OR(D6="Sí",Q6="Sí",S6&lt;&gt;"Finalizada"),"No","Sí"))</f>
        <v/>
      </c>
      <c r="U6" s="11"/>
      <c r="V6" s="11"/>
    </row>
    <row r="7" spans="1:22">
      <c r="A7" s="11"/>
      <c r="B7" s="11"/>
      <c r="C7" s="19"/>
      <c r="D7" s="17"/>
      <c r="E7" s="21"/>
      <c r="F7" s="22" t="str">
        <f t="shared" si="0"/>
        <v/>
      </c>
      <c r="G7" s="21"/>
      <c r="H7" s="22" t="str">
        <f t="shared" si="1"/>
        <v/>
      </c>
      <c r="I7" s="21"/>
      <c r="J7" s="22" t="str">
        <f t="shared" si="2"/>
        <v/>
      </c>
      <c r="K7" s="21"/>
      <c r="L7" s="22" t="str">
        <f t="shared" si="3"/>
        <v/>
      </c>
      <c r="M7" s="21"/>
      <c r="N7" s="22" t="str">
        <f t="shared" si="4"/>
        <v/>
      </c>
      <c r="O7" s="22" t="str">
        <f t="shared" si="5"/>
        <v/>
      </c>
      <c r="P7" s="11"/>
      <c r="Q7" s="17"/>
      <c r="R7" s="11"/>
      <c r="S7" s="17"/>
      <c r="T7" s="15" t="str">
        <f t="shared" si="6"/>
        <v/>
      </c>
      <c r="U7" s="11"/>
      <c r="V7" s="11"/>
    </row>
    <row r="8" spans="1:22">
      <c r="A8" s="11"/>
      <c r="B8" s="11"/>
      <c r="C8" s="19"/>
      <c r="D8" s="17"/>
      <c r="E8" s="21"/>
      <c r="F8" s="22" t="str">
        <f t="shared" si="0"/>
        <v/>
      </c>
      <c r="G8" s="21"/>
      <c r="H8" s="22" t="str">
        <f t="shared" si="1"/>
        <v/>
      </c>
      <c r="I8" s="21"/>
      <c r="J8" s="22" t="str">
        <f t="shared" si="2"/>
        <v/>
      </c>
      <c r="K8" s="21"/>
      <c r="L8" s="22" t="str">
        <f t="shared" si="3"/>
        <v/>
      </c>
      <c r="M8" s="21"/>
      <c r="N8" s="22" t="str">
        <f t="shared" si="4"/>
        <v/>
      </c>
      <c r="O8" s="22" t="str">
        <f t="shared" si="5"/>
        <v/>
      </c>
      <c r="P8" s="11"/>
      <c r="Q8" s="17"/>
      <c r="R8" s="11"/>
      <c r="S8" s="17"/>
      <c r="T8" s="15" t="str">
        <f t="shared" si="6"/>
        <v/>
      </c>
      <c r="U8" s="11"/>
      <c r="V8" s="11"/>
    </row>
    <row r="9" spans="1:22">
      <c r="A9" s="11"/>
      <c r="B9" s="11"/>
      <c r="C9" s="19"/>
      <c r="D9" s="17"/>
      <c r="E9" s="21"/>
      <c r="F9" s="22" t="str">
        <f t="shared" si="0"/>
        <v/>
      </c>
      <c r="G9" s="21"/>
      <c r="H9" s="22" t="str">
        <f t="shared" si="1"/>
        <v/>
      </c>
      <c r="I9" s="21"/>
      <c r="J9" s="22" t="str">
        <f t="shared" si="2"/>
        <v/>
      </c>
      <c r="K9" s="21"/>
      <c r="L9" s="22" t="str">
        <f t="shared" si="3"/>
        <v/>
      </c>
      <c r="M9" s="21"/>
      <c r="N9" s="22" t="str">
        <f t="shared" si="4"/>
        <v/>
      </c>
      <c r="O9" s="22" t="str">
        <f t="shared" si="5"/>
        <v/>
      </c>
      <c r="P9" s="11"/>
      <c r="Q9" s="17"/>
      <c r="R9" s="11"/>
      <c r="S9" s="17"/>
      <c r="T9" s="15" t="str">
        <f t="shared" si="6"/>
        <v/>
      </c>
      <c r="U9" s="11"/>
      <c r="V9" s="11"/>
    </row>
    <row r="10" spans="1:22">
      <c r="A10" s="11"/>
      <c r="B10" s="11"/>
      <c r="C10" s="19"/>
      <c r="D10" s="17"/>
      <c r="E10" s="21"/>
      <c r="F10" s="22" t="str">
        <f t="shared" si="0"/>
        <v/>
      </c>
      <c r="G10" s="21"/>
      <c r="H10" s="22" t="str">
        <f t="shared" si="1"/>
        <v/>
      </c>
      <c r="I10" s="21"/>
      <c r="J10" s="22" t="str">
        <f t="shared" si="2"/>
        <v/>
      </c>
      <c r="K10" s="21"/>
      <c r="L10" s="22" t="str">
        <f t="shared" si="3"/>
        <v/>
      </c>
      <c r="M10" s="21"/>
      <c r="N10" s="22" t="str">
        <f t="shared" si="4"/>
        <v/>
      </c>
      <c r="O10" s="22" t="str">
        <f t="shared" si="5"/>
        <v/>
      </c>
      <c r="P10" s="11"/>
      <c r="Q10" s="17"/>
      <c r="R10" s="11"/>
      <c r="S10" s="17"/>
      <c r="T10" s="15" t="str">
        <f t="shared" si="6"/>
        <v/>
      </c>
      <c r="U10" s="11"/>
      <c r="V10" s="11"/>
    </row>
    <row r="11" spans="1:22">
      <c r="A11" s="11"/>
      <c r="B11" s="11"/>
      <c r="C11" s="19"/>
      <c r="D11" s="17"/>
      <c r="E11" s="21"/>
      <c r="F11" s="22" t="str">
        <f t="shared" si="0"/>
        <v/>
      </c>
      <c r="G11" s="21"/>
      <c r="H11" s="22" t="str">
        <f t="shared" si="1"/>
        <v/>
      </c>
      <c r="I11" s="21"/>
      <c r="J11" s="22" t="str">
        <f t="shared" si="2"/>
        <v/>
      </c>
      <c r="K11" s="21"/>
      <c r="L11" s="22" t="str">
        <f t="shared" si="3"/>
        <v/>
      </c>
      <c r="M11" s="21"/>
      <c r="N11" s="22" t="str">
        <f t="shared" si="4"/>
        <v/>
      </c>
      <c r="O11" s="22" t="str">
        <f t="shared" si="5"/>
        <v/>
      </c>
      <c r="P11" s="11"/>
      <c r="Q11" s="17"/>
      <c r="R11" s="11"/>
      <c r="S11" s="17"/>
      <c r="T11" s="15" t="str">
        <f t="shared" si="6"/>
        <v/>
      </c>
      <c r="U11" s="11"/>
      <c r="V11" s="11"/>
    </row>
    <row r="12" spans="1:22">
      <c r="A12" s="11"/>
      <c r="B12" s="11"/>
      <c r="C12" s="19"/>
      <c r="D12" s="17"/>
      <c r="E12" s="21"/>
      <c r="F12" s="22" t="str">
        <f t="shared" si="0"/>
        <v/>
      </c>
      <c r="G12" s="21"/>
      <c r="H12" s="22" t="str">
        <f t="shared" si="1"/>
        <v/>
      </c>
      <c r="I12" s="21"/>
      <c r="J12" s="22" t="str">
        <f t="shared" si="2"/>
        <v/>
      </c>
      <c r="K12" s="21"/>
      <c r="L12" s="22" t="str">
        <f t="shared" si="3"/>
        <v/>
      </c>
      <c r="M12" s="21"/>
      <c r="N12" s="22" t="str">
        <f t="shared" si="4"/>
        <v/>
      </c>
      <c r="O12" s="22" t="str">
        <f t="shared" si="5"/>
        <v/>
      </c>
      <c r="P12" s="11"/>
      <c r="Q12" s="17"/>
      <c r="R12" s="11"/>
      <c r="S12" s="17"/>
      <c r="T12" s="15" t="str">
        <f t="shared" si="6"/>
        <v/>
      </c>
      <c r="U12" s="11"/>
      <c r="V12" s="11"/>
    </row>
    <row r="13" spans="1:22">
      <c r="A13" s="11"/>
      <c r="B13" s="11"/>
      <c r="C13" s="19"/>
      <c r="D13" s="17"/>
      <c r="E13" s="21"/>
      <c r="F13" s="22" t="str">
        <f t="shared" si="0"/>
        <v/>
      </c>
      <c r="G13" s="21"/>
      <c r="H13" s="22" t="str">
        <f t="shared" si="1"/>
        <v/>
      </c>
      <c r="I13" s="21"/>
      <c r="J13" s="22" t="str">
        <f t="shared" si="2"/>
        <v/>
      </c>
      <c r="K13" s="21"/>
      <c r="L13" s="22" t="str">
        <f t="shared" si="3"/>
        <v/>
      </c>
      <c r="M13" s="21"/>
      <c r="N13" s="22" t="str">
        <f t="shared" si="4"/>
        <v/>
      </c>
      <c r="O13" s="22" t="str">
        <f t="shared" si="5"/>
        <v/>
      </c>
      <c r="P13" s="11"/>
      <c r="Q13" s="17"/>
      <c r="R13" s="11"/>
      <c r="S13" s="17"/>
      <c r="T13" s="15" t="str">
        <f t="shared" si="6"/>
        <v/>
      </c>
      <c r="U13" s="11"/>
      <c r="V13" s="11"/>
    </row>
    <row r="14" spans="1:22">
      <c r="A14" s="11"/>
      <c r="B14" s="11"/>
      <c r="C14" s="19"/>
      <c r="D14" s="17"/>
      <c r="E14" s="21"/>
      <c r="F14" s="22" t="str">
        <f t="shared" si="0"/>
        <v/>
      </c>
      <c r="G14" s="21"/>
      <c r="H14" s="22" t="str">
        <f t="shared" si="1"/>
        <v/>
      </c>
      <c r="I14" s="21"/>
      <c r="J14" s="22" t="str">
        <f t="shared" si="2"/>
        <v/>
      </c>
      <c r="K14" s="21"/>
      <c r="L14" s="22" t="str">
        <f t="shared" si="3"/>
        <v/>
      </c>
      <c r="M14" s="21"/>
      <c r="N14" s="22" t="str">
        <f t="shared" si="4"/>
        <v/>
      </c>
      <c r="O14" s="22" t="str">
        <f t="shared" si="5"/>
        <v/>
      </c>
      <c r="P14" s="11"/>
      <c r="Q14" s="17"/>
      <c r="R14" s="11"/>
      <c r="S14" s="17"/>
      <c r="T14" s="15" t="str">
        <f t="shared" si="6"/>
        <v/>
      </c>
      <c r="U14" s="11"/>
      <c r="V14" s="11"/>
    </row>
    <row r="15" spans="1:22">
      <c r="A15" s="11"/>
      <c r="B15" s="11"/>
      <c r="C15" s="19"/>
      <c r="D15" s="17"/>
      <c r="E15" s="21"/>
      <c r="F15" s="22" t="str">
        <f t="shared" si="0"/>
        <v/>
      </c>
      <c r="G15" s="21"/>
      <c r="H15" s="22" t="str">
        <f t="shared" si="1"/>
        <v/>
      </c>
      <c r="I15" s="21"/>
      <c r="J15" s="22" t="str">
        <f t="shared" si="2"/>
        <v/>
      </c>
      <c r="K15" s="21"/>
      <c r="L15" s="22" t="str">
        <f t="shared" si="3"/>
        <v/>
      </c>
      <c r="M15" s="21"/>
      <c r="N15" s="22" t="str">
        <f t="shared" si="4"/>
        <v/>
      </c>
      <c r="O15" s="22" t="str">
        <f t="shared" si="5"/>
        <v/>
      </c>
      <c r="P15" s="11"/>
      <c r="Q15" s="17"/>
      <c r="R15" s="11"/>
      <c r="S15" s="17"/>
      <c r="T15" s="15" t="str">
        <f t="shared" si="6"/>
        <v/>
      </c>
      <c r="U15" s="11"/>
      <c r="V15" s="11"/>
    </row>
    <row r="16" spans="1:22">
      <c r="A16" s="11"/>
      <c r="B16" s="11"/>
      <c r="C16" s="19"/>
      <c r="D16" s="17"/>
      <c r="E16" s="21"/>
      <c r="F16" s="22" t="str">
        <f t="shared" si="0"/>
        <v/>
      </c>
      <c r="G16" s="21"/>
      <c r="H16" s="22" t="str">
        <f t="shared" si="1"/>
        <v/>
      </c>
      <c r="I16" s="21"/>
      <c r="J16" s="22" t="str">
        <f t="shared" si="2"/>
        <v/>
      </c>
      <c r="K16" s="21"/>
      <c r="L16" s="22" t="str">
        <f t="shared" si="3"/>
        <v/>
      </c>
      <c r="M16" s="21"/>
      <c r="N16" s="22" t="str">
        <f t="shared" si="4"/>
        <v/>
      </c>
      <c r="O16" s="22" t="str">
        <f t="shared" si="5"/>
        <v/>
      </c>
      <c r="P16" s="11"/>
      <c r="Q16" s="17"/>
      <c r="R16" s="11"/>
      <c r="S16" s="17"/>
      <c r="T16" s="15" t="str">
        <f t="shared" si="6"/>
        <v/>
      </c>
      <c r="U16" s="11"/>
      <c r="V16" s="11"/>
    </row>
    <row r="17" spans="1:22">
      <c r="A17" s="11"/>
      <c r="B17" s="11"/>
      <c r="C17" s="19"/>
      <c r="D17" s="17"/>
      <c r="E17" s="21"/>
      <c r="F17" s="22" t="str">
        <f t="shared" si="0"/>
        <v/>
      </c>
      <c r="G17" s="21"/>
      <c r="H17" s="22" t="str">
        <f t="shared" si="1"/>
        <v/>
      </c>
      <c r="I17" s="21"/>
      <c r="J17" s="22" t="str">
        <f t="shared" si="2"/>
        <v/>
      </c>
      <c r="K17" s="21"/>
      <c r="L17" s="22" t="str">
        <f t="shared" si="3"/>
        <v/>
      </c>
      <c r="M17" s="21"/>
      <c r="N17" s="22" t="str">
        <f t="shared" si="4"/>
        <v/>
      </c>
      <c r="O17" s="22" t="str">
        <f t="shared" si="5"/>
        <v/>
      </c>
      <c r="P17" s="11"/>
      <c r="Q17" s="17"/>
      <c r="R17" s="11"/>
      <c r="S17" s="17"/>
      <c r="T17" s="15" t="str">
        <f t="shared" si="6"/>
        <v/>
      </c>
      <c r="U17" s="11"/>
      <c r="V17" s="11"/>
    </row>
    <row r="18" spans="1:22">
      <c r="A18" s="11"/>
      <c r="B18" s="11"/>
      <c r="C18" s="19"/>
      <c r="D18" s="17"/>
      <c r="E18" s="21"/>
      <c r="F18" s="22" t="str">
        <f t="shared" si="0"/>
        <v/>
      </c>
      <c r="G18" s="21"/>
      <c r="H18" s="22" t="str">
        <f t="shared" si="1"/>
        <v/>
      </c>
      <c r="I18" s="21"/>
      <c r="J18" s="22" t="str">
        <f t="shared" si="2"/>
        <v/>
      </c>
      <c r="K18" s="21"/>
      <c r="L18" s="22" t="str">
        <f t="shared" si="3"/>
        <v/>
      </c>
      <c r="M18" s="21"/>
      <c r="N18" s="22" t="str">
        <f t="shared" si="4"/>
        <v/>
      </c>
      <c r="O18" s="22" t="str">
        <f t="shared" si="5"/>
        <v/>
      </c>
      <c r="P18" s="11"/>
      <c r="Q18" s="17"/>
      <c r="R18" s="11"/>
      <c r="S18" s="17"/>
      <c r="T18" s="15" t="str">
        <f t="shared" si="6"/>
        <v/>
      </c>
      <c r="U18" s="11"/>
      <c r="V18" s="11"/>
    </row>
    <row r="19" spans="1:22">
      <c r="A19" s="11"/>
      <c r="B19" s="11"/>
      <c r="C19" s="19"/>
      <c r="D19" s="17"/>
      <c r="E19" s="21"/>
      <c r="F19" s="22" t="str">
        <f t="shared" si="0"/>
        <v/>
      </c>
      <c r="G19" s="21"/>
      <c r="H19" s="22" t="str">
        <f t="shared" si="1"/>
        <v/>
      </c>
      <c r="I19" s="21"/>
      <c r="J19" s="22" t="str">
        <f t="shared" si="2"/>
        <v/>
      </c>
      <c r="K19" s="21"/>
      <c r="L19" s="22" t="str">
        <f t="shared" si="3"/>
        <v/>
      </c>
      <c r="M19" s="21"/>
      <c r="N19" s="22" t="str">
        <f t="shared" si="4"/>
        <v/>
      </c>
      <c r="O19" s="22" t="str">
        <f t="shared" si="5"/>
        <v/>
      </c>
      <c r="P19" s="11"/>
      <c r="Q19" s="17"/>
      <c r="R19" s="11"/>
      <c r="S19" s="17"/>
      <c r="T19" s="15" t="str">
        <f t="shared" si="6"/>
        <v/>
      </c>
      <c r="U19" s="11"/>
      <c r="V19" s="11"/>
    </row>
    <row r="20" spans="1:22">
      <c r="A20" s="11"/>
      <c r="B20" s="11"/>
      <c r="C20" s="19"/>
      <c r="D20" s="17"/>
      <c r="E20" s="21"/>
      <c r="F20" s="22" t="str">
        <f t="shared" si="0"/>
        <v/>
      </c>
      <c r="G20" s="21"/>
      <c r="H20" s="22" t="str">
        <f t="shared" si="1"/>
        <v/>
      </c>
      <c r="I20" s="21"/>
      <c r="J20" s="22" t="str">
        <f t="shared" si="2"/>
        <v/>
      </c>
      <c r="K20" s="21"/>
      <c r="L20" s="22" t="str">
        <f t="shared" si="3"/>
        <v/>
      </c>
      <c r="M20" s="21"/>
      <c r="N20" s="22" t="str">
        <f t="shared" si="4"/>
        <v/>
      </c>
      <c r="O20" s="22" t="str">
        <f t="shared" si="5"/>
        <v/>
      </c>
      <c r="P20" s="11"/>
      <c r="Q20" s="17"/>
      <c r="R20" s="11"/>
      <c r="S20" s="17"/>
      <c r="T20" s="15" t="str">
        <f t="shared" si="6"/>
        <v/>
      </c>
      <c r="U20" s="11"/>
      <c r="V20" s="11"/>
    </row>
    <row r="21" spans="1:22">
      <c r="A21" s="11"/>
      <c r="B21" s="11"/>
      <c r="C21" s="19"/>
      <c r="D21" s="17"/>
      <c r="E21" s="21"/>
      <c r="F21" s="22" t="str">
        <f t="shared" si="0"/>
        <v/>
      </c>
      <c r="G21" s="21"/>
      <c r="H21" s="22" t="str">
        <f t="shared" si="1"/>
        <v/>
      </c>
      <c r="I21" s="21"/>
      <c r="J21" s="22" t="str">
        <f t="shared" si="2"/>
        <v/>
      </c>
      <c r="K21" s="21"/>
      <c r="L21" s="22" t="str">
        <f t="shared" si="3"/>
        <v/>
      </c>
      <c r="M21" s="21"/>
      <c r="N21" s="22" t="str">
        <f t="shared" si="4"/>
        <v/>
      </c>
      <c r="O21" s="22" t="str">
        <f t="shared" si="5"/>
        <v/>
      </c>
      <c r="P21" s="11"/>
      <c r="Q21" s="17"/>
      <c r="R21" s="11"/>
      <c r="S21" s="17"/>
      <c r="T21" s="15" t="str">
        <f t="shared" si="6"/>
        <v/>
      </c>
      <c r="U21" s="11"/>
      <c r="V21" s="11"/>
    </row>
    <row r="22" spans="1:22">
      <c r="A22" s="11"/>
      <c r="B22" s="11"/>
      <c r="C22" s="19"/>
      <c r="D22" s="17"/>
      <c r="E22" s="21"/>
      <c r="F22" s="22" t="str">
        <f t="shared" si="0"/>
        <v/>
      </c>
      <c r="G22" s="21"/>
      <c r="H22" s="22" t="str">
        <f t="shared" si="1"/>
        <v/>
      </c>
      <c r="I22" s="21"/>
      <c r="J22" s="22" t="str">
        <f t="shared" si="2"/>
        <v/>
      </c>
      <c r="K22" s="21"/>
      <c r="L22" s="22" t="str">
        <f t="shared" si="3"/>
        <v/>
      </c>
      <c r="M22" s="21"/>
      <c r="N22" s="22" t="str">
        <f t="shared" si="4"/>
        <v/>
      </c>
      <c r="O22" s="22" t="str">
        <f t="shared" si="5"/>
        <v/>
      </c>
      <c r="P22" s="11"/>
      <c r="Q22" s="17"/>
      <c r="R22" s="11"/>
      <c r="S22" s="17"/>
      <c r="T22" s="15" t="str">
        <f t="shared" si="6"/>
        <v/>
      </c>
      <c r="U22" s="11"/>
      <c r="V22" s="11"/>
    </row>
    <row r="23" spans="1:22">
      <c r="A23" s="11"/>
      <c r="B23" s="11"/>
      <c r="C23" s="19"/>
      <c r="D23" s="17"/>
      <c r="E23" s="21"/>
      <c r="F23" s="22" t="str">
        <f t="shared" si="0"/>
        <v/>
      </c>
      <c r="G23" s="21"/>
      <c r="H23" s="22" t="str">
        <f t="shared" si="1"/>
        <v/>
      </c>
      <c r="I23" s="21"/>
      <c r="J23" s="22" t="str">
        <f t="shared" si="2"/>
        <v/>
      </c>
      <c r="K23" s="21"/>
      <c r="L23" s="22" t="str">
        <f t="shared" si="3"/>
        <v/>
      </c>
      <c r="M23" s="21"/>
      <c r="N23" s="22" t="str">
        <f t="shared" si="4"/>
        <v/>
      </c>
      <c r="O23" s="22" t="str">
        <f t="shared" si="5"/>
        <v/>
      </c>
      <c r="P23" s="11"/>
      <c r="Q23" s="17"/>
      <c r="R23" s="11"/>
      <c r="S23" s="17"/>
      <c r="T23" s="15" t="str">
        <f t="shared" si="6"/>
        <v/>
      </c>
      <c r="U23" s="11"/>
      <c r="V23" s="11"/>
    </row>
    <row r="24" spans="1:22">
      <c r="A24" s="11"/>
      <c r="B24" s="11"/>
      <c r="C24" s="19"/>
      <c r="D24" s="17"/>
      <c r="E24" s="21"/>
      <c r="F24" s="22" t="str">
        <f t="shared" si="0"/>
        <v/>
      </c>
      <c r="G24" s="21"/>
      <c r="H24" s="22" t="str">
        <f t="shared" si="1"/>
        <v/>
      </c>
      <c r="I24" s="21"/>
      <c r="J24" s="22" t="str">
        <f t="shared" si="2"/>
        <v/>
      </c>
      <c r="K24" s="21"/>
      <c r="L24" s="22" t="str">
        <f t="shared" si="3"/>
        <v/>
      </c>
      <c r="M24" s="21"/>
      <c r="N24" s="22" t="str">
        <f t="shared" si="4"/>
        <v/>
      </c>
      <c r="O24" s="22" t="str">
        <f t="shared" si="5"/>
        <v/>
      </c>
      <c r="P24" s="11"/>
      <c r="Q24" s="17"/>
      <c r="R24" s="11"/>
      <c r="S24" s="17"/>
      <c r="T24" s="15" t="str">
        <f t="shared" si="6"/>
        <v/>
      </c>
      <c r="U24" s="11"/>
      <c r="V24" s="11"/>
    </row>
    <row r="25" spans="1:22">
      <c r="A25" s="11"/>
      <c r="B25" s="11"/>
      <c r="C25" s="19"/>
      <c r="D25" s="17"/>
      <c r="E25" s="21"/>
      <c r="F25" s="22" t="str">
        <f t="shared" si="0"/>
        <v/>
      </c>
      <c r="G25" s="21"/>
      <c r="H25" s="22" t="str">
        <f t="shared" si="1"/>
        <v/>
      </c>
      <c r="I25" s="21"/>
      <c r="J25" s="22" t="str">
        <f t="shared" si="2"/>
        <v/>
      </c>
      <c r="K25" s="21"/>
      <c r="L25" s="22" t="str">
        <f t="shared" si="3"/>
        <v/>
      </c>
      <c r="M25" s="21"/>
      <c r="N25" s="22" t="str">
        <f t="shared" si="4"/>
        <v/>
      </c>
      <c r="O25" s="22" t="str">
        <f t="shared" si="5"/>
        <v/>
      </c>
      <c r="P25" s="11"/>
      <c r="Q25" s="17"/>
      <c r="R25" s="11"/>
      <c r="S25" s="17"/>
      <c r="T25" s="15" t="str">
        <f t="shared" si="6"/>
        <v/>
      </c>
      <c r="U25" s="11"/>
      <c r="V25" s="11"/>
    </row>
    <row r="26" spans="1:22">
      <c r="A26" s="11"/>
      <c r="B26" s="11"/>
      <c r="C26" s="19"/>
      <c r="D26" s="17"/>
      <c r="E26" s="21"/>
      <c r="F26" s="22" t="str">
        <f t="shared" si="0"/>
        <v/>
      </c>
      <c r="G26" s="21"/>
      <c r="H26" s="22" t="str">
        <f t="shared" si="1"/>
        <v/>
      </c>
      <c r="I26" s="21"/>
      <c r="J26" s="22" t="str">
        <f t="shared" si="2"/>
        <v/>
      </c>
      <c r="K26" s="21"/>
      <c r="L26" s="22" t="str">
        <f t="shared" si="3"/>
        <v/>
      </c>
      <c r="M26" s="21"/>
      <c r="N26" s="22" t="str">
        <f t="shared" si="4"/>
        <v/>
      </c>
      <c r="O26" s="22" t="str">
        <f t="shared" si="5"/>
        <v/>
      </c>
      <c r="P26" s="11"/>
      <c r="Q26" s="17"/>
      <c r="R26" s="11"/>
      <c r="S26" s="17"/>
      <c r="T26" s="15" t="str">
        <f t="shared" si="6"/>
        <v/>
      </c>
      <c r="U26" s="11"/>
      <c r="V26" s="11"/>
    </row>
    <row r="27" spans="1:22">
      <c r="A27" s="11"/>
      <c r="B27" s="11"/>
      <c r="C27" s="19"/>
      <c r="D27" s="17"/>
      <c r="E27" s="21"/>
      <c r="F27" s="22" t="str">
        <f t="shared" si="0"/>
        <v/>
      </c>
      <c r="G27" s="21"/>
      <c r="H27" s="22" t="str">
        <f t="shared" si="1"/>
        <v/>
      </c>
      <c r="I27" s="21"/>
      <c r="J27" s="22" t="str">
        <f t="shared" si="2"/>
        <v/>
      </c>
      <c r="K27" s="21"/>
      <c r="L27" s="22" t="str">
        <f t="shared" si="3"/>
        <v/>
      </c>
      <c r="M27" s="21"/>
      <c r="N27" s="22" t="str">
        <f t="shared" si="4"/>
        <v/>
      </c>
      <c r="O27" s="22" t="str">
        <f t="shared" si="5"/>
        <v/>
      </c>
      <c r="P27" s="11"/>
      <c r="Q27" s="17"/>
      <c r="R27" s="11"/>
      <c r="S27" s="17"/>
      <c r="T27" s="15" t="str">
        <f t="shared" si="6"/>
        <v/>
      </c>
      <c r="U27" s="11"/>
      <c r="V27" s="11"/>
    </row>
    <row r="28" spans="1:22">
      <c r="A28" s="11"/>
      <c r="B28" s="11"/>
      <c r="C28" s="19"/>
      <c r="D28" s="17"/>
      <c r="E28" s="21"/>
      <c r="F28" s="22" t="str">
        <f t="shared" si="0"/>
        <v/>
      </c>
      <c r="G28" s="21"/>
      <c r="H28" s="22" t="str">
        <f t="shared" si="1"/>
        <v/>
      </c>
      <c r="I28" s="21"/>
      <c r="J28" s="22" t="str">
        <f t="shared" si="2"/>
        <v/>
      </c>
      <c r="K28" s="21"/>
      <c r="L28" s="22" t="str">
        <f t="shared" si="3"/>
        <v/>
      </c>
      <c r="M28" s="21"/>
      <c r="N28" s="22" t="str">
        <f t="shared" si="4"/>
        <v/>
      </c>
      <c r="O28" s="22" t="str">
        <f t="shared" si="5"/>
        <v/>
      </c>
      <c r="P28" s="11"/>
      <c r="Q28" s="17"/>
      <c r="R28" s="11"/>
      <c r="S28" s="17"/>
      <c r="T28" s="15" t="str">
        <f t="shared" si="6"/>
        <v/>
      </c>
      <c r="U28" s="11"/>
      <c r="V28" s="11"/>
    </row>
    <row r="29" spans="1:22">
      <c r="A29" s="11"/>
      <c r="B29" s="11"/>
      <c r="C29" s="19"/>
      <c r="D29" s="17"/>
      <c r="E29" s="21"/>
      <c r="F29" s="22" t="str">
        <f t="shared" si="0"/>
        <v/>
      </c>
      <c r="G29" s="21"/>
      <c r="H29" s="22" t="str">
        <f t="shared" si="1"/>
        <v/>
      </c>
      <c r="I29" s="21"/>
      <c r="J29" s="22" t="str">
        <f t="shared" si="2"/>
        <v/>
      </c>
      <c r="K29" s="21"/>
      <c r="L29" s="22" t="str">
        <f t="shared" si="3"/>
        <v/>
      </c>
      <c r="M29" s="21"/>
      <c r="N29" s="22" t="str">
        <f t="shared" si="4"/>
        <v/>
      </c>
      <c r="O29" s="22" t="str">
        <f t="shared" si="5"/>
        <v/>
      </c>
      <c r="P29" s="11"/>
      <c r="Q29" s="17"/>
      <c r="R29" s="11"/>
      <c r="S29" s="17"/>
      <c r="T29" s="15" t="str">
        <f t="shared" si="6"/>
        <v/>
      </c>
      <c r="U29" s="11"/>
      <c r="V29" s="11"/>
    </row>
    <row r="30" spans="1:22">
      <c r="A30" s="11"/>
      <c r="B30" s="11"/>
      <c r="C30" s="19"/>
      <c r="D30" s="17"/>
      <c r="E30" s="21"/>
      <c r="F30" s="22" t="str">
        <f t="shared" si="0"/>
        <v/>
      </c>
      <c r="G30" s="21"/>
      <c r="H30" s="22" t="str">
        <f t="shared" si="1"/>
        <v/>
      </c>
      <c r="I30" s="21"/>
      <c r="J30" s="22" t="str">
        <f t="shared" si="2"/>
        <v/>
      </c>
      <c r="K30" s="21"/>
      <c r="L30" s="22" t="str">
        <f t="shared" si="3"/>
        <v/>
      </c>
      <c r="M30" s="21"/>
      <c r="N30" s="22" t="str">
        <f t="shared" si="4"/>
        <v/>
      </c>
      <c r="O30" s="22" t="str">
        <f t="shared" si="5"/>
        <v/>
      </c>
      <c r="P30" s="11"/>
      <c r="Q30" s="17"/>
      <c r="R30" s="11"/>
      <c r="S30" s="17"/>
      <c r="T30" s="15" t="str">
        <f t="shared" si="6"/>
        <v/>
      </c>
      <c r="U30" s="11"/>
      <c r="V30" s="11"/>
    </row>
    <row r="31" spans="1:22">
      <c r="A31" s="11"/>
      <c r="B31" s="11"/>
      <c r="C31" s="19"/>
      <c r="D31" s="17"/>
      <c r="E31" s="21"/>
      <c r="F31" s="22" t="str">
        <f t="shared" si="0"/>
        <v/>
      </c>
      <c r="G31" s="21"/>
      <c r="H31" s="22" t="str">
        <f t="shared" si="1"/>
        <v/>
      </c>
      <c r="I31" s="21"/>
      <c r="J31" s="22" t="str">
        <f t="shared" si="2"/>
        <v/>
      </c>
      <c r="K31" s="21"/>
      <c r="L31" s="22" t="str">
        <f t="shared" si="3"/>
        <v/>
      </c>
      <c r="M31" s="21"/>
      <c r="N31" s="22" t="str">
        <f t="shared" si="4"/>
        <v/>
      </c>
      <c r="O31" s="22" t="str">
        <f t="shared" si="5"/>
        <v/>
      </c>
      <c r="P31" s="11"/>
      <c r="Q31" s="17"/>
      <c r="R31" s="11"/>
      <c r="S31" s="17"/>
      <c r="T31" s="15" t="str">
        <f t="shared" si="6"/>
        <v/>
      </c>
      <c r="U31" s="11"/>
      <c r="V31" s="11"/>
    </row>
    <row r="32" spans="1:22">
      <c r="A32" s="11"/>
      <c r="B32" s="11"/>
      <c r="C32" s="19"/>
      <c r="D32" s="17"/>
      <c r="E32" s="21"/>
      <c r="F32" s="22" t="str">
        <f t="shared" si="0"/>
        <v/>
      </c>
      <c r="G32" s="21"/>
      <c r="H32" s="22" t="str">
        <f t="shared" si="1"/>
        <v/>
      </c>
      <c r="I32" s="21"/>
      <c r="J32" s="22" t="str">
        <f t="shared" si="2"/>
        <v/>
      </c>
      <c r="K32" s="21"/>
      <c r="L32" s="22" t="str">
        <f t="shared" si="3"/>
        <v/>
      </c>
      <c r="M32" s="21"/>
      <c r="N32" s="22" t="str">
        <f t="shared" si="4"/>
        <v/>
      </c>
      <c r="O32" s="22" t="str">
        <f t="shared" si="5"/>
        <v/>
      </c>
      <c r="P32" s="11"/>
      <c r="Q32" s="17"/>
      <c r="R32" s="11"/>
      <c r="S32" s="17"/>
      <c r="T32" s="15" t="str">
        <f t="shared" si="6"/>
        <v/>
      </c>
      <c r="U32" s="11"/>
      <c r="V32" s="11"/>
    </row>
    <row r="33" spans="1:22">
      <c r="A33" s="11"/>
      <c r="B33" s="11"/>
      <c r="C33" s="19"/>
      <c r="D33" s="17"/>
      <c r="E33" s="21"/>
      <c r="F33" s="22" t="str">
        <f t="shared" si="0"/>
        <v/>
      </c>
      <c r="G33" s="21"/>
      <c r="H33" s="22" t="str">
        <f t="shared" si="1"/>
        <v/>
      </c>
      <c r="I33" s="21"/>
      <c r="J33" s="22" t="str">
        <f t="shared" si="2"/>
        <v/>
      </c>
      <c r="K33" s="21"/>
      <c r="L33" s="22" t="str">
        <f t="shared" si="3"/>
        <v/>
      </c>
      <c r="M33" s="21"/>
      <c r="N33" s="22" t="str">
        <f t="shared" si="4"/>
        <v/>
      </c>
      <c r="O33" s="22" t="str">
        <f t="shared" si="5"/>
        <v/>
      </c>
      <c r="P33" s="11"/>
      <c r="Q33" s="17"/>
      <c r="R33" s="11"/>
      <c r="S33" s="17"/>
      <c r="T33" s="15" t="str">
        <f t="shared" si="6"/>
        <v/>
      </c>
      <c r="U33" s="11"/>
      <c r="V33" s="11"/>
    </row>
    <row r="34" spans="1:22">
      <c r="A34" s="11"/>
      <c r="B34" s="11"/>
      <c r="C34" s="19"/>
      <c r="D34" s="17"/>
      <c r="E34" s="21"/>
      <c r="F34" s="22" t="str">
        <f t="shared" si="0"/>
        <v/>
      </c>
      <c r="G34" s="21"/>
      <c r="H34" s="22" t="str">
        <f t="shared" si="1"/>
        <v/>
      </c>
      <c r="I34" s="21"/>
      <c r="J34" s="22" t="str">
        <f t="shared" si="2"/>
        <v/>
      </c>
      <c r="K34" s="21"/>
      <c r="L34" s="22" t="str">
        <f t="shared" si="3"/>
        <v/>
      </c>
      <c r="M34" s="21"/>
      <c r="N34" s="22" t="str">
        <f t="shared" si="4"/>
        <v/>
      </c>
      <c r="O34" s="22" t="str">
        <f t="shared" si="5"/>
        <v/>
      </c>
      <c r="P34" s="11"/>
      <c r="Q34" s="17"/>
      <c r="R34" s="11"/>
      <c r="S34" s="17"/>
      <c r="T34" s="15" t="str">
        <f t="shared" si="6"/>
        <v/>
      </c>
      <c r="U34" s="11"/>
      <c r="V34" s="11"/>
    </row>
    <row r="35" spans="1:22">
      <c r="A35" s="11"/>
      <c r="B35" s="11"/>
      <c r="C35" s="19"/>
      <c r="D35" s="17"/>
      <c r="E35" s="21"/>
      <c r="F35" s="22" t="str">
        <f t="shared" si="0"/>
        <v/>
      </c>
      <c r="G35" s="21"/>
      <c r="H35" s="22" t="str">
        <f t="shared" si="1"/>
        <v/>
      </c>
      <c r="I35" s="21"/>
      <c r="J35" s="22" t="str">
        <f t="shared" si="2"/>
        <v/>
      </c>
      <c r="K35" s="21"/>
      <c r="L35" s="22" t="str">
        <f t="shared" si="3"/>
        <v/>
      </c>
      <c r="M35" s="21"/>
      <c r="N35" s="22" t="str">
        <f t="shared" si="4"/>
        <v/>
      </c>
      <c r="O35" s="22" t="str">
        <f t="shared" si="5"/>
        <v/>
      </c>
      <c r="P35" s="11"/>
      <c r="Q35" s="17"/>
      <c r="R35" s="11"/>
      <c r="S35" s="17"/>
      <c r="T35" s="15" t="str">
        <f t="shared" si="6"/>
        <v/>
      </c>
      <c r="U35" s="11"/>
      <c r="V35" s="11"/>
    </row>
    <row r="36" spans="1:22">
      <c r="A36" s="11"/>
      <c r="B36" s="11"/>
      <c r="C36" s="19"/>
      <c r="D36" s="17"/>
      <c r="E36" s="21"/>
      <c r="F36" s="22" t="str">
        <f t="shared" si="0"/>
        <v/>
      </c>
      <c r="G36" s="21"/>
      <c r="H36" s="22" t="str">
        <f t="shared" si="1"/>
        <v/>
      </c>
      <c r="I36" s="21"/>
      <c r="J36" s="22" t="str">
        <f t="shared" si="2"/>
        <v/>
      </c>
      <c r="K36" s="21"/>
      <c r="L36" s="22" t="str">
        <f t="shared" si="3"/>
        <v/>
      </c>
      <c r="M36" s="21"/>
      <c r="N36" s="22" t="str">
        <f t="shared" si="4"/>
        <v/>
      </c>
      <c r="O36" s="22" t="str">
        <f t="shared" si="5"/>
        <v/>
      </c>
      <c r="P36" s="11"/>
      <c r="Q36" s="17"/>
      <c r="R36" s="11"/>
      <c r="S36" s="17"/>
      <c r="T36" s="15" t="str">
        <f t="shared" si="6"/>
        <v/>
      </c>
      <c r="U36" s="11"/>
      <c r="V36" s="11"/>
    </row>
    <row r="37" spans="1:22">
      <c r="A37" s="11"/>
      <c r="B37" s="11"/>
      <c r="C37" s="19"/>
      <c r="D37" s="17"/>
      <c r="E37" s="21"/>
      <c r="F37" s="22" t="str">
        <f t="shared" si="0"/>
        <v/>
      </c>
      <c r="G37" s="21"/>
      <c r="H37" s="22" t="str">
        <f t="shared" si="1"/>
        <v/>
      </c>
      <c r="I37" s="21"/>
      <c r="J37" s="22" t="str">
        <f t="shared" si="2"/>
        <v/>
      </c>
      <c r="K37" s="21"/>
      <c r="L37" s="22" t="str">
        <f t="shared" si="3"/>
        <v/>
      </c>
      <c r="M37" s="21"/>
      <c r="N37" s="22" t="str">
        <f t="shared" si="4"/>
        <v/>
      </c>
      <c r="O37" s="22" t="str">
        <f t="shared" si="5"/>
        <v/>
      </c>
      <c r="P37" s="11"/>
      <c r="Q37" s="17"/>
      <c r="R37" s="11"/>
      <c r="S37" s="17"/>
      <c r="T37" s="15" t="str">
        <f t="shared" si="6"/>
        <v/>
      </c>
      <c r="U37" s="11"/>
      <c r="V37" s="11"/>
    </row>
    <row r="38" spans="1:22">
      <c r="A38" s="11"/>
      <c r="B38" s="11"/>
      <c r="C38" s="19"/>
      <c r="D38" s="17"/>
      <c r="E38" s="21"/>
      <c r="F38" s="22" t="str">
        <f t="shared" ref="F38:F69" si="7">IF(E38="","",IF(E38/25&gt;=0.9,"Excelente",IF(E38/25&gt;=0.75,"Bueno",IF(E38/25&gt;=0.6,"Suficiente","Insuficiente"))))</f>
        <v/>
      </c>
      <c r="G38" s="21"/>
      <c r="H38" s="22" t="str">
        <f t="shared" ref="H38:H69" si="8">IF(G38="","",IF(G38/25&gt;=0.9,"Excelente",IF(G38/25&gt;=0.75,"Bueno",IF(G38/25&gt;=0.6,"Suficiente","Insuficiente"))))</f>
        <v/>
      </c>
      <c r="I38" s="21"/>
      <c r="J38" s="22" t="str">
        <f t="shared" ref="J38:J69" si="9">IF(I38="","",IF(I38/20&gt;=0.9,"Excelente",IF(I38/20&gt;=0.75,"Bueno",IF(I38/20&gt;=0.6,"Suficiente","Insuficiente"))))</f>
        <v/>
      </c>
      <c r="K38" s="21"/>
      <c r="L38" s="22" t="str">
        <f t="shared" ref="L38:L69" si="10">IF(K38="","",IF(K38/20&gt;=0.9,"Excelente",IF(K38/20&gt;=0.75,"Bueno",IF(K38/20&gt;=0.6,"Suficiente","Insuficiente"))))</f>
        <v/>
      </c>
      <c r="M38" s="21"/>
      <c r="N38" s="22" t="str">
        <f t="shared" ref="N38:N69" si="11">IF(M38="","",IF(M38/10&gt;=0.9,"Excelente",IF(M38/10&gt;=0.75,"Bueno",IF(M38/10&gt;=0.6,"Suficiente","Insuficiente"))))</f>
        <v/>
      </c>
      <c r="O38" s="22" t="str">
        <f t="shared" ref="O38:O69" si="12">IF(COUNT(E38,G38,I38,K38,M38)&lt;5,"",SUM(E38,G38,I38,K38,M38))</f>
        <v/>
      </c>
      <c r="P38" s="11"/>
      <c r="Q38" s="17"/>
      <c r="R38" s="11"/>
      <c r="S38" s="17"/>
      <c r="T38" s="15" t="str">
        <f t="shared" ref="T38:T69" si="13">IF(A38="","",IF(OR(D38="Sí",Q38="Sí",S38&lt;&gt;"Finalizada"),"No","Sí"))</f>
        <v/>
      </c>
      <c r="U38" s="11"/>
      <c r="V38" s="11"/>
    </row>
    <row r="39" spans="1:22">
      <c r="A39" s="11"/>
      <c r="B39" s="11"/>
      <c r="C39" s="19"/>
      <c r="D39" s="17"/>
      <c r="E39" s="21"/>
      <c r="F39" s="22" t="str">
        <f t="shared" si="7"/>
        <v/>
      </c>
      <c r="G39" s="21"/>
      <c r="H39" s="22" t="str">
        <f t="shared" si="8"/>
        <v/>
      </c>
      <c r="I39" s="21"/>
      <c r="J39" s="22" t="str">
        <f t="shared" si="9"/>
        <v/>
      </c>
      <c r="K39" s="21"/>
      <c r="L39" s="22" t="str">
        <f t="shared" si="10"/>
        <v/>
      </c>
      <c r="M39" s="21"/>
      <c r="N39" s="22" t="str">
        <f t="shared" si="11"/>
        <v/>
      </c>
      <c r="O39" s="22" t="str">
        <f t="shared" si="12"/>
        <v/>
      </c>
      <c r="P39" s="11"/>
      <c r="Q39" s="17"/>
      <c r="R39" s="11"/>
      <c r="S39" s="17"/>
      <c r="T39" s="15" t="str">
        <f t="shared" si="13"/>
        <v/>
      </c>
      <c r="U39" s="11"/>
      <c r="V39" s="11"/>
    </row>
    <row r="40" spans="1:22">
      <c r="A40" s="11"/>
      <c r="B40" s="11"/>
      <c r="C40" s="19"/>
      <c r="D40" s="17"/>
      <c r="E40" s="21"/>
      <c r="F40" s="22" t="str">
        <f t="shared" si="7"/>
        <v/>
      </c>
      <c r="G40" s="21"/>
      <c r="H40" s="22" t="str">
        <f t="shared" si="8"/>
        <v/>
      </c>
      <c r="I40" s="21"/>
      <c r="J40" s="22" t="str">
        <f t="shared" si="9"/>
        <v/>
      </c>
      <c r="K40" s="21"/>
      <c r="L40" s="22" t="str">
        <f t="shared" si="10"/>
        <v/>
      </c>
      <c r="M40" s="21"/>
      <c r="N40" s="22" t="str">
        <f t="shared" si="11"/>
        <v/>
      </c>
      <c r="O40" s="22" t="str">
        <f t="shared" si="12"/>
        <v/>
      </c>
      <c r="P40" s="11"/>
      <c r="Q40" s="17"/>
      <c r="R40" s="11"/>
      <c r="S40" s="17"/>
      <c r="T40" s="15" t="str">
        <f t="shared" si="13"/>
        <v/>
      </c>
      <c r="U40" s="11"/>
      <c r="V40" s="11"/>
    </row>
    <row r="41" spans="1:22">
      <c r="A41" s="11"/>
      <c r="B41" s="11"/>
      <c r="C41" s="19"/>
      <c r="D41" s="17"/>
      <c r="E41" s="21"/>
      <c r="F41" s="22" t="str">
        <f t="shared" si="7"/>
        <v/>
      </c>
      <c r="G41" s="21"/>
      <c r="H41" s="22" t="str">
        <f t="shared" si="8"/>
        <v/>
      </c>
      <c r="I41" s="21"/>
      <c r="J41" s="22" t="str">
        <f t="shared" si="9"/>
        <v/>
      </c>
      <c r="K41" s="21"/>
      <c r="L41" s="22" t="str">
        <f t="shared" si="10"/>
        <v/>
      </c>
      <c r="M41" s="21"/>
      <c r="N41" s="22" t="str">
        <f t="shared" si="11"/>
        <v/>
      </c>
      <c r="O41" s="22" t="str">
        <f t="shared" si="12"/>
        <v/>
      </c>
      <c r="P41" s="11"/>
      <c r="Q41" s="17"/>
      <c r="R41" s="11"/>
      <c r="S41" s="17"/>
      <c r="T41" s="15" t="str">
        <f t="shared" si="13"/>
        <v/>
      </c>
      <c r="U41" s="11"/>
      <c r="V41" s="11"/>
    </row>
    <row r="42" spans="1:22">
      <c r="A42" s="11"/>
      <c r="B42" s="11"/>
      <c r="C42" s="19"/>
      <c r="D42" s="17"/>
      <c r="E42" s="21"/>
      <c r="F42" s="22" t="str">
        <f t="shared" si="7"/>
        <v/>
      </c>
      <c r="G42" s="21"/>
      <c r="H42" s="22" t="str">
        <f t="shared" si="8"/>
        <v/>
      </c>
      <c r="I42" s="21"/>
      <c r="J42" s="22" t="str">
        <f t="shared" si="9"/>
        <v/>
      </c>
      <c r="K42" s="21"/>
      <c r="L42" s="22" t="str">
        <f t="shared" si="10"/>
        <v/>
      </c>
      <c r="M42" s="21"/>
      <c r="N42" s="22" t="str">
        <f t="shared" si="11"/>
        <v/>
      </c>
      <c r="O42" s="22" t="str">
        <f t="shared" si="12"/>
        <v/>
      </c>
      <c r="P42" s="11"/>
      <c r="Q42" s="17"/>
      <c r="R42" s="11"/>
      <c r="S42" s="17"/>
      <c r="T42" s="15" t="str">
        <f t="shared" si="13"/>
        <v/>
      </c>
      <c r="U42" s="11"/>
      <c r="V42" s="11"/>
    </row>
    <row r="43" spans="1:22">
      <c r="A43" s="11"/>
      <c r="B43" s="11"/>
      <c r="C43" s="19"/>
      <c r="D43" s="17"/>
      <c r="E43" s="21"/>
      <c r="F43" s="22" t="str">
        <f t="shared" si="7"/>
        <v/>
      </c>
      <c r="G43" s="21"/>
      <c r="H43" s="22" t="str">
        <f t="shared" si="8"/>
        <v/>
      </c>
      <c r="I43" s="21"/>
      <c r="J43" s="22" t="str">
        <f t="shared" si="9"/>
        <v/>
      </c>
      <c r="K43" s="21"/>
      <c r="L43" s="22" t="str">
        <f t="shared" si="10"/>
        <v/>
      </c>
      <c r="M43" s="21"/>
      <c r="N43" s="22" t="str">
        <f t="shared" si="11"/>
        <v/>
      </c>
      <c r="O43" s="22" t="str">
        <f t="shared" si="12"/>
        <v/>
      </c>
      <c r="P43" s="11"/>
      <c r="Q43" s="17"/>
      <c r="R43" s="11"/>
      <c r="S43" s="17"/>
      <c r="T43" s="15" t="str">
        <f t="shared" si="13"/>
        <v/>
      </c>
      <c r="U43" s="11"/>
      <c r="V43" s="11"/>
    </row>
    <row r="44" spans="1:22">
      <c r="A44" s="11"/>
      <c r="B44" s="11"/>
      <c r="C44" s="19"/>
      <c r="D44" s="17"/>
      <c r="E44" s="21"/>
      <c r="F44" s="22" t="str">
        <f t="shared" si="7"/>
        <v/>
      </c>
      <c r="G44" s="21"/>
      <c r="H44" s="22" t="str">
        <f t="shared" si="8"/>
        <v/>
      </c>
      <c r="I44" s="21"/>
      <c r="J44" s="22" t="str">
        <f t="shared" si="9"/>
        <v/>
      </c>
      <c r="K44" s="21"/>
      <c r="L44" s="22" t="str">
        <f t="shared" si="10"/>
        <v/>
      </c>
      <c r="M44" s="21"/>
      <c r="N44" s="22" t="str">
        <f t="shared" si="11"/>
        <v/>
      </c>
      <c r="O44" s="22" t="str">
        <f t="shared" si="12"/>
        <v/>
      </c>
      <c r="P44" s="11"/>
      <c r="Q44" s="17"/>
      <c r="R44" s="11"/>
      <c r="S44" s="17"/>
      <c r="T44" s="15" t="str">
        <f t="shared" si="13"/>
        <v/>
      </c>
      <c r="U44" s="11"/>
      <c r="V44" s="11"/>
    </row>
    <row r="45" spans="1:22">
      <c r="A45" s="11"/>
      <c r="B45" s="11"/>
      <c r="C45" s="19"/>
      <c r="D45" s="17"/>
      <c r="E45" s="21"/>
      <c r="F45" s="22" t="str">
        <f t="shared" si="7"/>
        <v/>
      </c>
      <c r="G45" s="21"/>
      <c r="H45" s="22" t="str">
        <f t="shared" si="8"/>
        <v/>
      </c>
      <c r="I45" s="21"/>
      <c r="J45" s="22" t="str">
        <f t="shared" si="9"/>
        <v/>
      </c>
      <c r="K45" s="21"/>
      <c r="L45" s="22" t="str">
        <f t="shared" si="10"/>
        <v/>
      </c>
      <c r="M45" s="21"/>
      <c r="N45" s="22" t="str">
        <f t="shared" si="11"/>
        <v/>
      </c>
      <c r="O45" s="22" t="str">
        <f t="shared" si="12"/>
        <v/>
      </c>
      <c r="P45" s="11"/>
      <c r="Q45" s="17"/>
      <c r="R45" s="11"/>
      <c r="S45" s="17"/>
      <c r="T45" s="15" t="str">
        <f t="shared" si="13"/>
        <v/>
      </c>
      <c r="U45" s="11"/>
      <c r="V45" s="11"/>
    </row>
    <row r="46" spans="1:22">
      <c r="A46" s="11"/>
      <c r="B46" s="11"/>
      <c r="C46" s="19"/>
      <c r="D46" s="17"/>
      <c r="E46" s="21"/>
      <c r="F46" s="22" t="str">
        <f t="shared" si="7"/>
        <v/>
      </c>
      <c r="G46" s="21"/>
      <c r="H46" s="22" t="str">
        <f t="shared" si="8"/>
        <v/>
      </c>
      <c r="I46" s="21"/>
      <c r="J46" s="22" t="str">
        <f t="shared" si="9"/>
        <v/>
      </c>
      <c r="K46" s="21"/>
      <c r="L46" s="22" t="str">
        <f t="shared" si="10"/>
        <v/>
      </c>
      <c r="M46" s="21"/>
      <c r="N46" s="22" t="str">
        <f t="shared" si="11"/>
        <v/>
      </c>
      <c r="O46" s="22" t="str">
        <f t="shared" si="12"/>
        <v/>
      </c>
      <c r="P46" s="11"/>
      <c r="Q46" s="17"/>
      <c r="R46" s="11"/>
      <c r="S46" s="17"/>
      <c r="T46" s="15" t="str">
        <f t="shared" si="13"/>
        <v/>
      </c>
      <c r="U46" s="11"/>
      <c r="V46" s="11"/>
    </row>
    <row r="47" spans="1:22">
      <c r="A47" s="11"/>
      <c r="B47" s="11"/>
      <c r="C47" s="19"/>
      <c r="D47" s="17"/>
      <c r="E47" s="21"/>
      <c r="F47" s="22" t="str">
        <f t="shared" si="7"/>
        <v/>
      </c>
      <c r="G47" s="21"/>
      <c r="H47" s="22" t="str">
        <f t="shared" si="8"/>
        <v/>
      </c>
      <c r="I47" s="21"/>
      <c r="J47" s="22" t="str">
        <f t="shared" si="9"/>
        <v/>
      </c>
      <c r="K47" s="21"/>
      <c r="L47" s="22" t="str">
        <f t="shared" si="10"/>
        <v/>
      </c>
      <c r="M47" s="21"/>
      <c r="N47" s="22" t="str">
        <f t="shared" si="11"/>
        <v/>
      </c>
      <c r="O47" s="22" t="str">
        <f t="shared" si="12"/>
        <v/>
      </c>
      <c r="P47" s="11"/>
      <c r="Q47" s="17"/>
      <c r="R47" s="11"/>
      <c r="S47" s="17"/>
      <c r="T47" s="15" t="str">
        <f t="shared" si="13"/>
        <v/>
      </c>
      <c r="U47" s="11"/>
      <c r="V47" s="11"/>
    </row>
    <row r="48" spans="1:22">
      <c r="A48" s="11"/>
      <c r="B48" s="11"/>
      <c r="C48" s="19"/>
      <c r="D48" s="17"/>
      <c r="E48" s="21"/>
      <c r="F48" s="22" t="str">
        <f t="shared" si="7"/>
        <v/>
      </c>
      <c r="G48" s="21"/>
      <c r="H48" s="22" t="str">
        <f t="shared" si="8"/>
        <v/>
      </c>
      <c r="I48" s="21"/>
      <c r="J48" s="22" t="str">
        <f t="shared" si="9"/>
        <v/>
      </c>
      <c r="K48" s="21"/>
      <c r="L48" s="22" t="str">
        <f t="shared" si="10"/>
        <v/>
      </c>
      <c r="M48" s="21"/>
      <c r="N48" s="22" t="str">
        <f t="shared" si="11"/>
        <v/>
      </c>
      <c r="O48" s="22" t="str">
        <f t="shared" si="12"/>
        <v/>
      </c>
      <c r="P48" s="11"/>
      <c r="Q48" s="17"/>
      <c r="R48" s="11"/>
      <c r="S48" s="17"/>
      <c r="T48" s="15" t="str">
        <f t="shared" si="13"/>
        <v/>
      </c>
      <c r="U48" s="11"/>
      <c r="V48" s="11"/>
    </row>
    <row r="49" spans="1:22">
      <c r="A49" s="11"/>
      <c r="B49" s="11"/>
      <c r="C49" s="19"/>
      <c r="D49" s="17"/>
      <c r="E49" s="21"/>
      <c r="F49" s="22" t="str">
        <f t="shared" si="7"/>
        <v/>
      </c>
      <c r="G49" s="21"/>
      <c r="H49" s="22" t="str">
        <f t="shared" si="8"/>
        <v/>
      </c>
      <c r="I49" s="21"/>
      <c r="J49" s="22" t="str">
        <f t="shared" si="9"/>
        <v/>
      </c>
      <c r="K49" s="21"/>
      <c r="L49" s="22" t="str">
        <f t="shared" si="10"/>
        <v/>
      </c>
      <c r="M49" s="21"/>
      <c r="N49" s="22" t="str">
        <f t="shared" si="11"/>
        <v/>
      </c>
      <c r="O49" s="22" t="str">
        <f t="shared" si="12"/>
        <v/>
      </c>
      <c r="P49" s="11"/>
      <c r="Q49" s="17"/>
      <c r="R49" s="11"/>
      <c r="S49" s="17"/>
      <c r="T49" s="15" t="str">
        <f t="shared" si="13"/>
        <v/>
      </c>
      <c r="U49" s="11"/>
      <c r="V49" s="11"/>
    </row>
    <row r="50" spans="1:22">
      <c r="A50" s="11"/>
      <c r="B50" s="11"/>
      <c r="C50" s="19"/>
      <c r="D50" s="17"/>
      <c r="E50" s="21"/>
      <c r="F50" s="22" t="str">
        <f t="shared" si="7"/>
        <v/>
      </c>
      <c r="G50" s="21"/>
      <c r="H50" s="22" t="str">
        <f t="shared" si="8"/>
        <v/>
      </c>
      <c r="I50" s="21"/>
      <c r="J50" s="22" t="str">
        <f t="shared" si="9"/>
        <v/>
      </c>
      <c r="K50" s="21"/>
      <c r="L50" s="22" t="str">
        <f t="shared" si="10"/>
        <v/>
      </c>
      <c r="M50" s="21"/>
      <c r="N50" s="22" t="str">
        <f t="shared" si="11"/>
        <v/>
      </c>
      <c r="O50" s="22" t="str">
        <f t="shared" si="12"/>
        <v/>
      </c>
      <c r="P50" s="11"/>
      <c r="Q50" s="17"/>
      <c r="R50" s="11"/>
      <c r="S50" s="17"/>
      <c r="T50" s="15" t="str">
        <f t="shared" si="13"/>
        <v/>
      </c>
      <c r="U50" s="11"/>
      <c r="V50" s="11"/>
    </row>
    <row r="51" spans="1:22">
      <c r="A51" s="11"/>
      <c r="B51" s="11"/>
      <c r="C51" s="19"/>
      <c r="D51" s="17"/>
      <c r="E51" s="21"/>
      <c r="F51" s="22" t="str">
        <f t="shared" si="7"/>
        <v/>
      </c>
      <c r="G51" s="21"/>
      <c r="H51" s="22" t="str">
        <f t="shared" si="8"/>
        <v/>
      </c>
      <c r="I51" s="21"/>
      <c r="J51" s="22" t="str">
        <f t="shared" si="9"/>
        <v/>
      </c>
      <c r="K51" s="21"/>
      <c r="L51" s="22" t="str">
        <f t="shared" si="10"/>
        <v/>
      </c>
      <c r="M51" s="21"/>
      <c r="N51" s="22" t="str">
        <f t="shared" si="11"/>
        <v/>
      </c>
      <c r="O51" s="22" t="str">
        <f t="shared" si="12"/>
        <v/>
      </c>
      <c r="P51" s="11"/>
      <c r="Q51" s="17"/>
      <c r="R51" s="11"/>
      <c r="S51" s="17"/>
      <c r="T51" s="15" t="str">
        <f t="shared" si="13"/>
        <v/>
      </c>
      <c r="U51" s="11"/>
      <c r="V51" s="11"/>
    </row>
    <row r="52" spans="1:22">
      <c r="A52" s="11"/>
      <c r="B52" s="11"/>
      <c r="C52" s="19"/>
      <c r="D52" s="17"/>
      <c r="E52" s="21"/>
      <c r="F52" s="22" t="str">
        <f t="shared" si="7"/>
        <v/>
      </c>
      <c r="G52" s="21"/>
      <c r="H52" s="22" t="str">
        <f t="shared" si="8"/>
        <v/>
      </c>
      <c r="I52" s="21"/>
      <c r="J52" s="22" t="str">
        <f t="shared" si="9"/>
        <v/>
      </c>
      <c r="K52" s="21"/>
      <c r="L52" s="22" t="str">
        <f t="shared" si="10"/>
        <v/>
      </c>
      <c r="M52" s="21"/>
      <c r="N52" s="22" t="str">
        <f t="shared" si="11"/>
        <v/>
      </c>
      <c r="O52" s="22" t="str">
        <f t="shared" si="12"/>
        <v/>
      </c>
      <c r="P52" s="11"/>
      <c r="Q52" s="17"/>
      <c r="R52" s="11"/>
      <c r="S52" s="17"/>
      <c r="T52" s="15" t="str">
        <f t="shared" si="13"/>
        <v/>
      </c>
      <c r="U52" s="11"/>
      <c r="V52" s="11"/>
    </row>
    <row r="53" spans="1:22">
      <c r="A53" s="11"/>
      <c r="B53" s="11"/>
      <c r="C53" s="19"/>
      <c r="D53" s="17"/>
      <c r="E53" s="21"/>
      <c r="F53" s="22" t="str">
        <f t="shared" si="7"/>
        <v/>
      </c>
      <c r="G53" s="21"/>
      <c r="H53" s="22" t="str">
        <f t="shared" si="8"/>
        <v/>
      </c>
      <c r="I53" s="21"/>
      <c r="J53" s="22" t="str">
        <f t="shared" si="9"/>
        <v/>
      </c>
      <c r="K53" s="21"/>
      <c r="L53" s="22" t="str">
        <f t="shared" si="10"/>
        <v/>
      </c>
      <c r="M53" s="21"/>
      <c r="N53" s="22" t="str">
        <f t="shared" si="11"/>
        <v/>
      </c>
      <c r="O53" s="22" t="str">
        <f t="shared" si="12"/>
        <v/>
      </c>
      <c r="P53" s="11"/>
      <c r="Q53" s="17"/>
      <c r="R53" s="11"/>
      <c r="S53" s="17"/>
      <c r="T53" s="15" t="str">
        <f t="shared" si="13"/>
        <v/>
      </c>
      <c r="U53" s="11"/>
      <c r="V53" s="11"/>
    </row>
    <row r="54" spans="1:22">
      <c r="A54" s="11"/>
      <c r="B54" s="11"/>
      <c r="C54" s="19"/>
      <c r="D54" s="17"/>
      <c r="E54" s="21"/>
      <c r="F54" s="22" t="str">
        <f t="shared" si="7"/>
        <v/>
      </c>
      <c r="G54" s="21"/>
      <c r="H54" s="22" t="str">
        <f t="shared" si="8"/>
        <v/>
      </c>
      <c r="I54" s="21"/>
      <c r="J54" s="22" t="str">
        <f t="shared" si="9"/>
        <v/>
      </c>
      <c r="K54" s="21"/>
      <c r="L54" s="22" t="str">
        <f t="shared" si="10"/>
        <v/>
      </c>
      <c r="M54" s="21"/>
      <c r="N54" s="22" t="str">
        <f t="shared" si="11"/>
        <v/>
      </c>
      <c r="O54" s="22" t="str">
        <f t="shared" si="12"/>
        <v/>
      </c>
      <c r="P54" s="11"/>
      <c r="Q54" s="17"/>
      <c r="R54" s="11"/>
      <c r="S54" s="17"/>
      <c r="T54" s="15" t="str">
        <f t="shared" si="13"/>
        <v/>
      </c>
      <c r="U54" s="11"/>
      <c r="V54" s="11"/>
    </row>
    <row r="55" spans="1:22">
      <c r="A55" s="11"/>
      <c r="B55" s="11"/>
      <c r="C55" s="19"/>
      <c r="D55" s="17"/>
      <c r="E55" s="21"/>
      <c r="F55" s="22" t="str">
        <f t="shared" si="7"/>
        <v/>
      </c>
      <c r="G55" s="21"/>
      <c r="H55" s="22" t="str">
        <f t="shared" si="8"/>
        <v/>
      </c>
      <c r="I55" s="21"/>
      <c r="J55" s="22" t="str">
        <f t="shared" si="9"/>
        <v/>
      </c>
      <c r="K55" s="21"/>
      <c r="L55" s="22" t="str">
        <f t="shared" si="10"/>
        <v/>
      </c>
      <c r="M55" s="21"/>
      <c r="N55" s="22" t="str">
        <f t="shared" si="11"/>
        <v/>
      </c>
      <c r="O55" s="22" t="str">
        <f t="shared" si="12"/>
        <v/>
      </c>
      <c r="P55" s="11"/>
      <c r="Q55" s="17"/>
      <c r="R55" s="11"/>
      <c r="S55" s="17"/>
      <c r="T55" s="15" t="str">
        <f t="shared" si="13"/>
        <v/>
      </c>
      <c r="U55" s="11"/>
      <c r="V55" s="11"/>
    </row>
    <row r="56" spans="1:22">
      <c r="A56" s="11"/>
      <c r="B56" s="11"/>
      <c r="C56" s="19"/>
      <c r="D56" s="17"/>
      <c r="E56" s="21"/>
      <c r="F56" s="22" t="str">
        <f t="shared" si="7"/>
        <v/>
      </c>
      <c r="G56" s="21"/>
      <c r="H56" s="22" t="str">
        <f t="shared" si="8"/>
        <v/>
      </c>
      <c r="I56" s="21"/>
      <c r="J56" s="22" t="str">
        <f t="shared" si="9"/>
        <v/>
      </c>
      <c r="K56" s="21"/>
      <c r="L56" s="22" t="str">
        <f t="shared" si="10"/>
        <v/>
      </c>
      <c r="M56" s="21"/>
      <c r="N56" s="22" t="str">
        <f t="shared" si="11"/>
        <v/>
      </c>
      <c r="O56" s="22" t="str">
        <f t="shared" si="12"/>
        <v/>
      </c>
      <c r="P56" s="11"/>
      <c r="Q56" s="17"/>
      <c r="R56" s="11"/>
      <c r="S56" s="17"/>
      <c r="T56" s="15" t="str">
        <f t="shared" si="13"/>
        <v/>
      </c>
      <c r="U56" s="11"/>
      <c r="V56" s="11"/>
    </row>
    <row r="57" spans="1:22">
      <c r="A57" s="11"/>
      <c r="B57" s="11"/>
      <c r="C57" s="19"/>
      <c r="D57" s="17"/>
      <c r="E57" s="21"/>
      <c r="F57" s="22" t="str">
        <f t="shared" si="7"/>
        <v/>
      </c>
      <c r="G57" s="21"/>
      <c r="H57" s="22" t="str">
        <f t="shared" si="8"/>
        <v/>
      </c>
      <c r="I57" s="21"/>
      <c r="J57" s="22" t="str">
        <f t="shared" si="9"/>
        <v/>
      </c>
      <c r="K57" s="21"/>
      <c r="L57" s="22" t="str">
        <f t="shared" si="10"/>
        <v/>
      </c>
      <c r="M57" s="21"/>
      <c r="N57" s="22" t="str">
        <f t="shared" si="11"/>
        <v/>
      </c>
      <c r="O57" s="22" t="str">
        <f t="shared" si="12"/>
        <v/>
      </c>
      <c r="P57" s="11"/>
      <c r="Q57" s="17"/>
      <c r="R57" s="11"/>
      <c r="S57" s="17"/>
      <c r="T57" s="15" t="str">
        <f t="shared" si="13"/>
        <v/>
      </c>
      <c r="U57" s="11"/>
      <c r="V57" s="11"/>
    </row>
    <row r="58" spans="1:22">
      <c r="A58" s="11"/>
      <c r="B58" s="11"/>
      <c r="C58" s="19"/>
      <c r="D58" s="17"/>
      <c r="E58" s="21"/>
      <c r="F58" s="22" t="str">
        <f t="shared" si="7"/>
        <v/>
      </c>
      <c r="G58" s="21"/>
      <c r="H58" s="22" t="str">
        <f t="shared" si="8"/>
        <v/>
      </c>
      <c r="I58" s="21"/>
      <c r="J58" s="22" t="str">
        <f t="shared" si="9"/>
        <v/>
      </c>
      <c r="K58" s="21"/>
      <c r="L58" s="22" t="str">
        <f t="shared" si="10"/>
        <v/>
      </c>
      <c r="M58" s="21"/>
      <c r="N58" s="22" t="str">
        <f t="shared" si="11"/>
        <v/>
      </c>
      <c r="O58" s="22" t="str">
        <f t="shared" si="12"/>
        <v/>
      </c>
      <c r="P58" s="11"/>
      <c r="Q58" s="17"/>
      <c r="R58" s="11"/>
      <c r="S58" s="17"/>
      <c r="T58" s="15" t="str">
        <f t="shared" si="13"/>
        <v/>
      </c>
      <c r="U58" s="11"/>
      <c r="V58" s="11"/>
    </row>
    <row r="59" spans="1:22">
      <c r="A59" s="11"/>
      <c r="B59" s="11"/>
      <c r="C59" s="19"/>
      <c r="D59" s="17"/>
      <c r="E59" s="21"/>
      <c r="F59" s="22" t="str">
        <f t="shared" si="7"/>
        <v/>
      </c>
      <c r="G59" s="21"/>
      <c r="H59" s="22" t="str">
        <f t="shared" si="8"/>
        <v/>
      </c>
      <c r="I59" s="21"/>
      <c r="J59" s="22" t="str">
        <f t="shared" si="9"/>
        <v/>
      </c>
      <c r="K59" s="21"/>
      <c r="L59" s="22" t="str">
        <f t="shared" si="10"/>
        <v/>
      </c>
      <c r="M59" s="21"/>
      <c r="N59" s="22" t="str">
        <f t="shared" si="11"/>
        <v/>
      </c>
      <c r="O59" s="22" t="str">
        <f t="shared" si="12"/>
        <v/>
      </c>
      <c r="P59" s="11"/>
      <c r="Q59" s="17"/>
      <c r="R59" s="11"/>
      <c r="S59" s="17"/>
      <c r="T59" s="15" t="str">
        <f t="shared" si="13"/>
        <v/>
      </c>
      <c r="U59" s="11"/>
      <c r="V59" s="11"/>
    </row>
    <row r="60" spans="1:22">
      <c r="A60" s="11"/>
      <c r="B60" s="11"/>
      <c r="C60" s="19"/>
      <c r="D60" s="17"/>
      <c r="E60" s="21"/>
      <c r="F60" s="22" t="str">
        <f t="shared" si="7"/>
        <v/>
      </c>
      <c r="G60" s="21"/>
      <c r="H60" s="22" t="str">
        <f t="shared" si="8"/>
        <v/>
      </c>
      <c r="I60" s="21"/>
      <c r="J60" s="22" t="str">
        <f t="shared" si="9"/>
        <v/>
      </c>
      <c r="K60" s="21"/>
      <c r="L60" s="22" t="str">
        <f t="shared" si="10"/>
        <v/>
      </c>
      <c r="M60" s="21"/>
      <c r="N60" s="22" t="str">
        <f t="shared" si="11"/>
        <v/>
      </c>
      <c r="O60" s="22" t="str">
        <f t="shared" si="12"/>
        <v/>
      </c>
      <c r="P60" s="11"/>
      <c r="Q60" s="17"/>
      <c r="R60" s="11"/>
      <c r="S60" s="17"/>
      <c r="T60" s="15" t="str">
        <f t="shared" si="13"/>
        <v/>
      </c>
      <c r="U60" s="11"/>
      <c r="V60" s="11"/>
    </row>
    <row r="61" spans="1:22">
      <c r="A61" s="11"/>
      <c r="B61" s="11"/>
      <c r="C61" s="19"/>
      <c r="D61" s="17"/>
      <c r="E61" s="21"/>
      <c r="F61" s="22" t="str">
        <f t="shared" si="7"/>
        <v/>
      </c>
      <c r="G61" s="21"/>
      <c r="H61" s="22" t="str">
        <f t="shared" si="8"/>
        <v/>
      </c>
      <c r="I61" s="21"/>
      <c r="J61" s="22" t="str">
        <f t="shared" si="9"/>
        <v/>
      </c>
      <c r="K61" s="21"/>
      <c r="L61" s="22" t="str">
        <f t="shared" si="10"/>
        <v/>
      </c>
      <c r="M61" s="21"/>
      <c r="N61" s="22" t="str">
        <f t="shared" si="11"/>
        <v/>
      </c>
      <c r="O61" s="22" t="str">
        <f t="shared" si="12"/>
        <v/>
      </c>
      <c r="P61" s="11"/>
      <c r="Q61" s="17"/>
      <c r="R61" s="11"/>
      <c r="S61" s="17"/>
      <c r="T61" s="15" t="str">
        <f t="shared" si="13"/>
        <v/>
      </c>
      <c r="U61" s="11"/>
      <c r="V61" s="11"/>
    </row>
    <row r="62" spans="1:22">
      <c r="A62" s="11"/>
      <c r="B62" s="11"/>
      <c r="C62" s="19"/>
      <c r="D62" s="17"/>
      <c r="E62" s="21"/>
      <c r="F62" s="22" t="str">
        <f t="shared" si="7"/>
        <v/>
      </c>
      <c r="G62" s="21"/>
      <c r="H62" s="22" t="str">
        <f t="shared" si="8"/>
        <v/>
      </c>
      <c r="I62" s="21"/>
      <c r="J62" s="22" t="str">
        <f t="shared" si="9"/>
        <v/>
      </c>
      <c r="K62" s="21"/>
      <c r="L62" s="22" t="str">
        <f t="shared" si="10"/>
        <v/>
      </c>
      <c r="M62" s="21"/>
      <c r="N62" s="22" t="str">
        <f t="shared" si="11"/>
        <v/>
      </c>
      <c r="O62" s="22" t="str">
        <f t="shared" si="12"/>
        <v/>
      </c>
      <c r="P62" s="11"/>
      <c r="Q62" s="17"/>
      <c r="R62" s="11"/>
      <c r="S62" s="17"/>
      <c r="T62" s="15" t="str">
        <f t="shared" si="13"/>
        <v/>
      </c>
      <c r="U62" s="11"/>
      <c r="V62" s="11"/>
    </row>
    <row r="63" spans="1:22">
      <c r="A63" s="11"/>
      <c r="B63" s="11"/>
      <c r="C63" s="19"/>
      <c r="D63" s="17"/>
      <c r="E63" s="21"/>
      <c r="F63" s="22" t="str">
        <f t="shared" si="7"/>
        <v/>
      </c>
      <c r="G63" s="21"/>
      <c r="H63" s="22" t="str">
        <f t="shared" si="8"/>
        <v/>
      </c>
      <c r="I63" s="21"/>
      <c r="J63" s="22" t="str">
        <f t="shared" si="9"/>
        <v/>
      </c>
      <c r="K63" s="21"/>
      <c r="L63" s="22" t="str">
        <f t="shared" si="10"/>
        <v/>
      </c>
      <c r="M63" s="21"/>
      <c r="N63" s="22" t="str">
        <f t="shared" si="11"/>
        <v/>
      </c>
      <c r="O63" s="22" t="str">
        <f t="shared" si="12"/>
        <v/>
      </c>
      <c r="P63" s="11"/>
      <c r="Q63" s="17"/>
      <c r="R63" s="11"/>
      <c r="S63" s="17"/>
      <c r="T63" s="15" t="str">
        <f t="shared" si="13"/>
        <v/>
      </c>
      <c r="U63" s="11"/>
      <c r="V63" s="11"/>
    </row>
    <row r="64" spans="1:22">
      <c r="A64" s="11"/>
      <c r="B64" s="11"/>
      <c r="C64" s="19"/>
      <c r="D64" s="17"/>
      <c r="E64" s="21"/>
      <c r="F64" s="22" t="str">
        <f t="shared" si="7"/>
        <v/>
      </c>
      <c r="G64" s="21"/>
      <c r="H64" s="22" t="str">
        <f t="shared" si="8"/>
        <v/>
      </c>
      <c r="I64" s="21"/>
      <c r="J64" s="22" t="str">
        <f t="shared" si="9"/>
        <v/>
      </c>
      <c r="K64" s="21"/>
      <c r="L64" s="22" t="str">
        <f t="shared" si="10"/>
        <v/>
      </c>
      <c r="M64" s="21"/>
      <c r="N64" s="22" t="str">
        <f t="shared" si="11"/>
        <v/>
      </c>
      <c r="O64" s="22" t="str">
        <f t="shared" si="12"/>
        <v/>
      </c>
      <c r="P64" s="11"/>
      <c r="Q64" s="17"/>
      <c r="R64" s="11"/>
      <c r="S64" s="17"/>
      <c r="T64" s="15" t="str">
        <f t="shared" si="13"/>
        <v/>
      </c>
      <c r="U64" s="11"/>
      <c r="V64" s="11"/>
    </row>
    <row r="65" spans="1:22">
      <c r="A65" s="11"/>
      <c r="B65" s="11"/>
      <c r="C65" s="19"/>
      <c r="D65" s="17"/>
      <c r="E65" s="21"/>
      <c r="F65" s="22" t="str">
        <f t="shared" si="7"/>
        <v/>
      </c>
      <c r="G65" s="21"/>
      <c r="H65" s="22" t="str">
        <f t="shared" si="8"/>
        <v/>
      </c>
      <c r="I65" s="21"/>
      <c r="J65" s="22" t="str">
        <f t="shared" si="9"/>
        <v/>
      </c>
      <c r="K65" s="21"/>
      <c r="L65" s="22" t="str">
        <f t="shared" si="10"/>
        <v/>
      </c>
      <c r="M65" s="21"/>
      <c r="N65" s="22" t="str">
        <f t="shared" si="11"/>
        <v/>
      </c>
      <c r="O65" s="22" t="str">
        <f t="shared" si="12"/>
        <v/>
      </c>
      <c r="P65" s="11"/>
      <c r="Q65" s="17"/>
      <c r="R65" s="11"/>
      <c r="S65" s="17"/>
      <c r="T65" s="15" t="str">
        <f t="shared" si="13"/>
        <v/>
      </c>
      <c r="U65" s="11"/>
      <c r="V65" s="11"/>
    </row>
    <row r="66" spans="1:22">
      <c r="A66" s="11"/>
      <c r="B66" s="11"/>
      <c r="C66" s="19"/>
      <c r="D66" s="17"/>
      <c r="E66" s="21"/>
      <c r="F66" s="22" t="str">
        <f t="shared" si="7"/>
        <v/>
      </c>
      <c r="G66" s="21"/>
      <c r="H66" s="22" t="str">
        <f t="shared" si="8"/>
        <v/>
      </c>
      <c r="I66" s="21"/>
      <c r="J66" s="22" t="str">
        <f t="shared" si="9"/>
        <v/>
      </c>
      <c r="K66" s="21"/>
      <c r="L66" s="22" t="str">
        <f t="shared" si="10"/>
        <v/>
      </c>
      <c r="M66" s="21"/>
      <c r="N66" s="22" t="str">
        <f t="shared" si="11"/>
        <v/>
      </c>
      <c r="O66" s="22" t="str">
        <f t="shared" si="12"/>
        <v/>
      </c>
      <c r="P66" s="11"/>
      <c r="Q66" s="17"/>
      <c r="R66" s="11"/>
      <c r="S66" s="17"/>
      <c r="T66" s="15" t="str">
        <f t="shared" si="13"/>
        <v/>
      </c>
      <c r="U66" s="11"/>
      <c r="V66" s="11"/>
    </row>
    <row r="67" spans="1:22">
      <c r="A67" s="11"/>
      <c r="B67" s="11"/>
      <c r="C67" s="19"/>
      <c r="D67" s="17"/>
      <c r="E67" s="21"/>
      <c r="F67" s="22" t="str">
        <f t="shared" si="7"/>
        <v/>
      </c>
      <c r="G67" s="21"/>
      <c r="H67" s="22" t="str">
        <f t="shared" si="8"/>
        <v/>
      </c>
      <c r="I67" s="21"/>
      <c r="J67" s="22" t="str">
        <f t="shared" si="9"/>
        <v/>
      </c>
      <c r="K67" s="21"/>
      <c r="L67" s="22" t="str">
        <f t="shared" si="10"/>
        <v/>
      </c>
      <c r="M67" s="21"/>
      <c r="N67" s="22" t="str">
        <f t="shared" si="11"/>
        <v/>
      </c>
      <c r="O67" s="22" t="str">
        <f t="shared" si="12"/>
        <v/>
      </c>
      <c r="P67" s="11"/>
      <c r="Q67" s="17"/>
      <c r="R67" s="11"/>
      <c r="S67" s="17"/>
      <c r="T67" s="15" t="str">
        <f t="shared" si="13"/>
        <v/>
      </c>
      <c r="U67" s="11"/>
      <c r="V67" s="11"/>
    </row>
    <row r="68" spans="1:22">
      <c r="A68" s="11"/>
      <c r="B68" s="11"/>
      <c r="C68" s="19"/>
      <c r="D68" s="17"/>
      <c r="E68" s="21"/>
      <c r="F68" s="22" t="str">
        <f t="shared" si="7"/>
        <v/>
      </c>
      <c r="G68" s="21"/>
      <c r="H68" s="22" t="str">
        <f t="shared" si="8"/>
        <v/>
      </c>
      <c r="I68" s="21"/>
      <c r="J68" s="22" t="str">
        <f t="shared" si="9"/>
        <v/>
      </c>
      <c r="K68" s="21"/>
      <c r="L68" s="22" t="str">
        <f t="shared" si="10"/>
        <v/>
      </c>
      <c r="M68" s="21"/>
      <c r="N68" s="22" t="str">
        <f t="shared" si="11"/>
        <v/>
      </c>
      <c r="O68" s="22" t="str">
        <f t="shared" si="12"/>
        <v/>
      </c>
      <c r="P68" s="11"/>
      <c r="Q68" s="17"/>
      <c r="R68" s="11"/>
      <c r="S68" s="17"/>
      <c r="T68" s="15" t="str">
        <f t="shared" si="13"/>
        <v/>
      </c>
      <c r="U68" s="11"/>
      <c r="V68" s="11"/>
    </row>
    <row r="69" spans="1:22">
      <c r="A69" s="11"/>
      <c r="B69" s="11"/>
      <c r="C69" s="19"/>
      <c r="D69" s="17"/>
      <c r="E69" s="21"/>
      <c r="F69" s="22" t="str">
        <f t="shared" si="7"/>
        <v/>
      </c>
      <c r="G69" s="21"/>
      <c r="H69" s="22" t="str">
        <f t="shared" si="8"/>
        <v/>
      </c>
      <c r="I69" s="21"/>
      <c r="J69" s="22" t="str">
        <f t="shared" si="9"/>
        <v/>
      </c>
      <c r="K69" s="21"/>
      <c r="L69" s="22" t="str">
        <f t="shared" si="10"/>
        <v/>
      </c>
      <c r="M69" s="21"/>
      <c r="N69" s="22" t="str">
        <f t="shared" si="11"/>
        <v/>
      </c>
      <c r="O69" s="22" t="str">
        <f t="shared" si="12"/>
        <v/>
      </c>
      <c r="P69" s="11"/>
      <c r="Q69" s="17"/>
      <c r="R69" s="11"/>
      <c r="S69" s="17"/>
      <c r="T69" s="15" t="str">
        <f t="shared" si="13"/>
        <v/>
      </c>
      <c r="U69" s="11"/>
      <c r="V69" s="11"/>
    </row>
    <row r="70" spans="1:22">
      <c r="A70" s="11"/>
      <c r="B70" s="11"/>
      <c r="C70" s="19"/>
      <c r="D70" s="17"/>
      <c r="E70" s="21"/>
      <c r="F70" s="22" t="str">
        <f t="shared" ref="F70:F101" si="14">IF(E70="","",IF(E70/25&gt;=0.9,"Excelente",IF(E70/25&gt;=0.75,"Bueno",IF(E70/25&gt;=0.6,"Suficiente","Insuficiente"))))</f>
        <v/>
      </c>
      <c r="G70" s="21"/>
      <c r="H70" s="22" t="str">
        <f t="shared" ref="H70:H101" si="15">IF(G70="","",IF(G70/25&gt;=0.9,"Excelente",IF(G70/25&gt;=0.75,"Bueno",IF(G70/25&gt;=0.6,"Suficiente","Insuficiente"))))</f>
        <v/>
      </c>
      <c r="I70" s="21"/>
      <c r="J70" s="22" t="str">
        <f t="shared" ref="J70:J101" si="16">IF(I70="","",IF(I70/20&gt;=0.9,"Excelente",IF(I70/20&gt;=0.75,"Bueno",IF(I70/20&gt;=0.6,"Suficiente","Insuficiente"))))</f>
        <v/>
      </c>
      <c r="K70" s="21"/>
      <c r="L70" s="22" t="str">
        <f t="shared" ref="L70:L101" si="17">IF(K70="","",IF(K70/20&gt;=0.9,"Excelente",IF(K70/20&gt;=0.75,"Bueno",IF(K70/20&gt;=0.6,"Suficiente","Insuficiente"))))</f>
        <v/>
      </c>
      <c r="M70" s="21"/>
      <c r="N70" s="22" t="str">
        <f t="shared" ref="N70:N101" si="18">IF(M70="","",IF(M70/10&gt;=0.9,"Excelente",IF(M70/10&gt;=0.75,"Bueno",IF(M70/10&gt;=0.6,"Suficiente","Insuficiente"))))</f>
        <v/>
      </c>
      <c r="O70" s="22" t="str">
        <f t="shared" ref="O70:O101" si="19">IF(COUNT(E70,G70,I70,K70,M70)&lt;5,"",SUM(E70,G70,I70,K70,M70))</f>
        <v/>
      </c>
      <c r="P70" s="11"/>
      <c r="Q70" s="17"/>
      <c r="R70" s="11"/>
      <c r="S70" s="17"/>
      <c r="T70" s="15" t="str">
        <f t="shared" ref="T70:T101" si="20">IF(A70="","",IF(OR(D70="Sí",Q70="Sí",S70&lt;&gt;"Finalizada"),"No","Sí"))</f>
        <v/>
      </c>
      <c r="U70" s="11"/>
      <c r="V70" s="11"/>
    </row>
    <row r="71" spans="1:22">
      <c r="A71" s="11"/>
      <c r="B71" s="11"/>
      <c r="C71" s="19"/>
      <c r="D71" s="17"/>
      <c r="E71" s="21"/>
      <c r="F71" s="22" t="str">
        <f t="shared" si="14"/>
        <v/>
      </c>
      <c r="G71" s="21"/>
      <c r="H71" s="22" t="str">
        <f t="shared" si="15"/>
        <v/>
      </c>
      <c r="I71" s="21"/>
      <c r="J71" s="22" t="str">
        <f t="shared" si="16"/>
        <v/>
      </c>
      <c r="K71" s="21"/>
      <c r="L71" s="22" t="str">
        <f t="shared" si="17"/>
        <v/>
      </c>
      <c r="M71" s="21"/>
      <c r="N71" s="22" t="str">
        <f t="shared" si="18"/>
        <v/>
      </c>
      <c r="O71" s="22" t="str">
        <f t="shared" si="19"/>
        <v/>
      </c>
      <c r="P71" s="11"/>
      <c r="Q71" s="17"/>
      <c r="R71" s="11"/>
      <c r="S71" s="17"/>
      <c r="T71" s="15" t="str">
        <f t="shared" si="20"/>
        <v/>
      </c>
      <c r="U71" s="11"/>
      <c r="V71" s="11"/>
    </row>
    <row r="72" spans="1:22">
      <c r="A72" s="11"/>
      <c r="B72" s="11"/>
      <c r="C72" s="19"/>
      <c r="D72" s="17"/>
      <c r="E72" s="21"/>
      <c r="F72" s="22" t="str">
        <f t="shared" si="14"/>
        <v/>
      </c>
      <c r="G72" s="21"/>
      <c r="H72" s="22" t="str">
        <f t="shared" si="15"/>
        <v/>
      </c>
      <c r="I72" s="21"/>
      <c r="J72" s="22" t="str">
        <f t="shared" si="16"/>
        <v/>
      </c>
      <c r="K72" s="21"/>
      <c r="L72" s="22" t="str">
        <f t="shared" si="17"/>
        <v/>
      </c>
      <c r="M72" s="21"/>
      <c r="N72" s="22" t="str">
        <f t="shared" si="18"/>
        <v/>
      </c>
      <c r="O72" s="22" t="str">
        <f t="shared" si="19"/>
        <v/>
      </c>
      <c r="P72" s="11"/>
      <c r="Q72" s="17"/>
      <c r="R72" s="11"/>
      <c r="S72" s="17"/>
      <c r="T72" s="15" t="str">
        <f t="shared" si="20"/>
        <v/>
      </c>
      <c r="U72" s="11"/>
      <c r="V72" s="11"/>
    </row>
    <row r="73" spans="1:22">
      <c r="A73" s="11"/>
      <c r="B73" s="11"/>
      <c r="C73" s="19"/>
      <c r="D73" s="17"/>
      <c r="E73" s="21"/>
      <c r="F73" s="22" t="str">
        <f t="shared" si="14"/>
        <v/>
      </c>
      <c r="G73" s="21"/>
      <c r="H73" s="22" t="str">
        <f t="shared" si="15"/>
        <v/>
      </c>
      <c r="I73" s="21"/>
      <c r="J73" s="22" t="str">
        <f t="shared" si="16"/>
        <v/>
      </c>
      <c r="K73" s="21"/>
      <c r="L73" s="22" t="str">
        <f t="shared" si="17"/>
        <v/>
      </c>
      <c r="M73" s="21"/>
      <c r="N73" s="22" t="str">
        <f t="shared" si="18"/>
        <v/>
      </c>
      <c r="O73" s="22" t="str">
        <f t="shared" si="19"/>
        <v/>
      </c>
      <c r="P73" s="11"/>
      <c r="Q73" s="17"/>
      <c r="R73" s="11"/>
      <c r="S73" s="17"/>
      <c r="T73" s="15" t="str">
        <f t="shared" si="20"/>
        <v/>
      </c>
      <c r="U73" s="11"/>
      <c r="V73" s="11"/>
    </row>
    <row r="74" spans="1:22">
      <c r="A74" s="11"/>
      <c r="B74" s="11"/>
      <c r="C74" s="19"/>
      <c r="D74" s="17"/>
      <c r="E74" s="21"/>
      <c r="F74" s="22" t="str">
        <f t="shared" si="14"/>
        <v/>
      </c>
      <c r="G74" s="21"/>
      <c r="H74" s="22" t="str">
        <f t="shared" si="15"/>
        <v/>
      </c>
      <c r="I74" s="21"/>
      <c r="J74" s="22" t="str">
        <f t="shared" si="16"/>
        <v/>
      </c>
      <c r="K74" s="21"/>
      <c r="L74" s="22" t="str">
        <f t="shared" si="17"/>
        <v/>
      </c>
      <c r="M74" s="21"/>
      <c r="N74" s="22" t="str">
        <f t="shared" si="18"/>
        <v/>
      </c>
      <c r="O74" s="22" t="str">
        <f t="shared" si="19"/>
        <v/>
      </c>
      <c r="P74" s="11"/>
      <c r="Q74" s="17"/>
      <c r="R74" s="11"/>
      <c r="S74" s="17"/>
      <c r="T74" s="15" t="str">
        <f t="shared" si="20"/>
        <v/>
      </c>
      <c r="U74" s="11"/>
      <c r="V74" s="11"/>
    </row>
    <row r="75" spans="1:22">
      <c r="A75" s="11"/>
      <c r="B75" s="11"/>
      <c r="C75" s="19"/>
      <c r="D75" s="17"/>
      <c r="E75" s="21"/>
      <c r="F75" s="22" t="str">
        <f t="shared" si="14"/>
        <v/>
      </c>
      <c r="G75" s="21"/>
      <c r="H75" s="22" t="str">
        <f t="shared" si="15"/>
        <v/>
      </c>
      <c r="I75" s="21"/>
      <c r="J75" s="22" t="str">
        <f t="shared" si="16"/>
        <v/>
      </c>
      <c r="K75" s="21"/>
      <c r="L75" s="22" t="str">
        <f t="shared" si="17"/>
        <v/>
      </c>
      <c r="M75" s="21"/>
      <c r="N75" s="22" t="str">
        <f t="shared" si="18"/>
        <v/>
      </c>
      <c r="O75" s="22" t="str">
        <f t="shared" si="19"/>
        <v/>
      </c>
      <c r="P75" s="11"/>
      <c r="Q75" s="17"/>
      <c r="R75" s="11"/>
      <c r="S75" s="17"/>
      <c r="T75" s="15" t="str">
        <f t="shared" si="20"/>
        <v/>
      </c>
      <c r="U75" s="11"/>
      <c r="V75" s="11"/>
    </row>
    <row r="76" spans="1:22">
      <c r="A76" s="11"/>
      <c r="B76" s="11"/>
      <c r="C76" s="19"/>
      <c r="D76" s="17"/>
      <c r="E76" s="21"/>
      <c r="F76" s="22" t="str">
        <f t="shared" si="14"/>
        <v/>
      </c>
      <c r="G76" s="21"/>
      <c r="H76" s="22" t="str">
        <f t="shared" si="15"/>
        <v/>
      </c>
      <c r="I76" s="21"/>
      <c r="J76" s="22" t="str">
        <f t="shared" si="16"/>
        <v/>
      </c>
      <c r="K76" s="21"/>
      <c r="L76" s="22" t="str">
        <f t="shared" si="17"/>
        <v/>
      </c>
      <c r="M76" s="21"/>
      <c r="N76" s="22" t="str">
        <f t="shared" si="18"/>
        <v/>
      </c>
      <c r="O76" s="22" t="str">
        <f t="shared" si="19"/>
        <v/>
      </c>
      <c r="P76" s="11"/>
      <c r="Q76" s="17"/>
      <c r="R76" s="11"/>
      <c r="S76" s="17"/>
      <c r="T76" s="15" t="str">
        <f t="shared" si="20"/>
        <v/>
      </c>
      <c r="U76" s="11"/>
      <c r="V76" s="11"/>
    </row>
    <row r="77" spans="1:22">
      <c r="A77" s="11"/>
      <c r="B77" s="11"/>
      <c r="C77" s="19"/>
      <c r="D77" s="17"/>
      <c r="E77" s="21"/>
      <c r="F77" s="22" t="str">
        <f t="shared" si="14"/>
        <v/>
      </c>
      <c r="G77" s="21"/>
      <c r="H77" s="22" t="str">
        <f t="shared" si="15"/>
        <v/>
      </c>
      <c r="I77" s="21"/>
      <c r="J77" s="22" t="str">
        <f t="shared" si="16"/>
        <v/>
      </c>
      <c r="K77" s="21"/>
      <c r="L77" s="22" t="str">
        <f t="shared" si="17"/>
        <v/>
      </c>
      <c r="M77" s="21"/>
      <c r="N77" s="22" t="str">
        <f t="shared" si="18"/>
        <v/>
      </c>
      <c r="O77" s="22" t="str">
        <f t="shared" si="19"/>
        <v/>
      </c>
      <c r="P77" s="11"/>
      <c r="Q77" s="17"/>
      <c r="R77" s="11"/>
      <c r="S77" s="17"/>
      <c r="T77" s="15" t="str">
        <f t="shared" si="20"/>
        <v/>
      </c>
      <c r="U77" s="11"/>
      <c r="V77" s="11"/>
    </row>
    <row r="78" spans="1:22">
      <c r="A78" s="11"/>
      <c r="B78" s="11"/>
      <c r="C78" s="19"/>
      <c r="D78" s="17"/>
      <c r="E78" s="21"/>
      <c r="F78" s="22" t="str">
        <f t="shared" si="14"/>
        <v/>
      </c>
      <c r="G78" s="21"/>
      <c r="H78" s="22" t="str">
        <f t="shared" si="15"/>
        <v/>
      </c>
      <c r="I78" s="21"/>
      <c r="J78" s="22" t="str">
        <f t="shared" si="16"/>
        <v/>
      </c>
      <c r="K78" s="21"/>
      <c r="L78" s="22" t="str">
        <f t="shared" si="17"/>
        <v/>
      </c>
      <c r="M78" s="21"/>
      <c r="N78" s="22" t="str">
        <f t="shared" si="18"/>
        <v/>
      </c>
      <c r="O78" s="22" t="str">
        <f t="shared" si="19"/>
        <v/>
      </c>
      <c r="P78" s="11"/>
      <c r="Q78" s="17"/>
      <c r="R78" s="11"/>
      <c r="S78" s="17"/>
      <c r="T78" s="15" t="str">
        <f t="shared" si="20"/>
        <v/>
      </c>
      <c r="U78" s="11"/>
      <c r="V78" s="11"/>
    </row>
    <row r="79" spans="1:22">
      <c r="A79" s="11"/>
      <c r="B79" s="11"/>
      <c r="C79" s="19"/>
      <c r="D79" s="17"/>
      <c r="E79" s="21"/>
      <c r="F79" s="22" t="str">
        <f t="shared" si="14"/>
        <v/>
      </c>
      <c r="G79" s="21"/>
      <c r="H79" s="22" t="str">
        <f t="shared" si="15"/>
        <v/>
      </c>
      <c r="I79" s="21"/>
      <c r="J79" s="22" t="str">
        <f t="shared" si="16"/>
        <v/>
      </c>
      <c r="K79" s="21"/>
      <c r="L79" s="22" t="str">
        <f t="shared" si="17"/>
        <v/>
      </c>
      <c r="M79" s="21"/>
      <c r="N79" s="22" t="str">
        <f t="shared" si="18"/>
        <v/>
      </c>
      <c r="O79" s="22" t="str">
        <f t="shared" si="19"/>
        <v/>
      </c>
      <c r="P79" s="11"/>
      <c r="Q79" s="17"/>
      <c r="R79" s="11"/>
      <c r="S79" s="17"/>
      <c r="T79" s="15" t="str">
        <f t="shared" si="20"/>
        <v/>
      </c>
      <c r="U79" s="11"/>
      <c r="V79" s="11"/>
    </row>
    <row r="80" spans="1:22">
      <c r="A80" s="11"/>
      <c r="B80" s="11"/>
      <c r="C80" s="19"/>
      <c r="D80" s="17"/>
      <c r="E80" s="21"/>
      <c r="F80" s="22" t="str">
        <f t="shared" si="14"/>
        <v/>
      </c>
      <c r="G80" s="21"/>
      <c r="H80" s="22" t="str">
        <f t="shared" si="15"/>
        <v/>
      </c>
      <c r="I80" s="21"/>
      <c r="J80" s="22" t="str">
        <f t="shared" si="16"/>
        <v/>
      </c>
      <c r="K80" s="21"/>
      <c r="L80" s="22" t="str">
        <f t="shared" si="17"/>
        <v/>
      </c>
      <c r="M80" s="21"/>
      <c r="N80" s="22" t="str">
        <f t="shared" si="18"/>
        <v/>
      </c>
      <c r="O80" s="22" t="str">
        <f t="shared" si="19"/>
        <v/>
      </c>
      <c r="P80" s="11"/>
      <c r="Q80" s="17"/>
      <c r="R80" s="11"/>
      <c r="S80" s="17"/>
      <c r="T80" s="15" t="str">
        <f t="shared" si="20"/>
        <v/>
      </c>
      <c r="U80" s="11"/>
      <c r="V80" s="11"/>
    </row>
    <row r="81" spans="1:22">
      <c r="A81" s="11"/>
      <c r="B81" s="11"/>
      <c r="C81" s="19"/>
      <c r="D81" s="17"/>
      <c r="E81" s="21"/>
      <c r="F81" s="22" t="str">
        <f t="shared" si="14"/>
        <v/>
      </c>
      <c r="G81" s="21"/>
      <c r="H81" s="22" t="str">
        <f t="shared" si="15"/>
        <v/>
      </c>
      <c r="I81" s="21"/>
      <c r="J81" s="22" t="str">
        <f t="shared" si="16"/>
        <v/>
      </c>
      <c r="K81" s="21"/>
      <c r="L81" s="22" t="str">
        <f t="shared" si="17"/>
        <v/>
      </c>
      <c r="M81" s="21"/>
      <c r="N81" s="22" t="str">
        <f t="shared" si="18"/>
        <v/>
      </c>
      <c r="O81" s="22" t="str">
        <f t="shared" si="19"/>
        <v/>
      </c>
      <c r="P81" s="11"/>
      <c r="Q81" s="17"/>
      <c r="R81" s="11"/>
      <c r="S81" s="17"/>
      <c r="T81" s="15" t="str">
        <f t="shared" si="20"/>
        <v/>
      </c>
      <c r="U81" s="11"/>
      <c r="V81" s="11"/>
    </row>
    <row r="82" spans="1:22">
      <c r="A82" s="11"/>
      <c r="B82" s="11"/>
      <c r="C82" s="19"/>
      <c r="D82" s="17"/>
      <c r="E82" s="21"/>
      <c r="F82" s="22" t="str">
        <f t="shared" si="14"/>
        <v/>
      </c>
      <c r="G82" s="21"/>
      <c r="H82" s="22" t="str">
        <f t="shared" si="15"/>
        <v/>
      </c>
      <c r="I82" s="21"/>
      <c r="J82" s="22" t="str">
        <f t="shared" si="16"/>
        <v/>
      </c>
      <c r="K82" s="21"/>
      <c r="L82" s="22" t="str">
        <f t="shared" si="17"/>
        <v/>
      </c>
      <c r="M82" s="21"/>
      <c r="N82" s="22" t="str">
        <f t="shared" si="18"/>
        <v/>
      </c>
      <c r="O82" s="22" t="str">
        <f t="shared" si="19"/>
        <v/>
      </c>
      <c r="P82" s="11"/>
      <c r="Q82" s="17"/>
      <c r="R82" s="11"/>
      <c r="S82" s="17"/>
      <c r="T82" s="15" t="str">
        <f t="shared" si="20"/>
        <v/>
      </c>
      <c r="U82" s="11"/>
      <c r="V82" s="11"/>
    </row>
    <row r="83" spans="1:22">
      <c r="A83" s="11"/>
      <c r="B83" s="11"/>
      <c r="C83" s="19"/>
      <c r="D83" s="17"/>
      <c r="E83" s="21"/>
      <c r="F83" s="22" t="str">
        <f t="shared" si="14"/>
        <v/>
      </c>
      <c r="G83" s="21"/>
      <c r="H83" s="22" t="str">
        <f t="shared" si="15"/>
        <v/>
      </c>
      <c r="I83" s="21"/>
      <c r="J83" s="22" t="str">
        <f t="shared" si="16"/>
        <v/>
      </c>
      <c r="K83" s="21"/>
      <c r="L83" s="22" t="str">
        <f t="shared" si="17"/>
        <v/>
      </c>
      <c r="M83" s="21"/>
      <c r="N83" s="22" t="str">
        <f t="shared" si="18"/>
        <v/>
      </c>
      <c r="O83" s="22" t="str">
        <f t="shared" si="19"/>
        <v/>
      </c>
      <c r="P83" s="11"/>
      <c r="Q83" s="17"/>
      <c r="R83" s="11"/>
      <c r="S83" s="17"/>
      <c r="T83" s="15" t="str">
        <f t="shared" si="20"/>
        <v/>
      </c>
      <c r="U83" s="11"/>
      <c r="V83" s="11"/>
    </row>
    <row r="84" spans="1:22">
      <c r="A84" s="11"/>
      <c r="B84" s="11"/>
      <c r="C84" s="19"/>
      <c r="D84" s="17"/>
      <c r="E84" s="21"/>
      <c r="F84" s="22" t="str">
        <f t="shared" si="14"/>
        <v/>
      </c>
      <c r="G84" s="21"/>
      <c r="H84" s="22" t="str">
        <f t="shared" si="15"/>
        <v/>
      </c>
      <c r="I84" s="21"/>
      <c r="J84" s="22" t="str">
        <f t="shared" si="16"/>
        <v/>
      </c>
      <c r="K84" s="21"/>
      <c r="L84" s="22" t="str">
        <f t="shared" si="17"/>
        <v/>
      </c>
      <c r="M84" s="21"/>
      <c r="N84" s="22" t="str">
        <f t="shared" si="18"/>
        <v/>
      </c>
      <c r="O84" s="22" t="str">
        <f t="shared" si="19"/>
        <v/>
      </c>
      <c r="P84" s="11"/>
      <c r="Q84" s="17"/>
      <c r="R84" s="11"/>
      <c r="S84" s="17"/>
      <c r="T84" s="15" t="str">
        <f t="shared" si="20"/>
        <v/>
      </c>
      <c r="U84" s="11"/>
      <c r="V84" s="11"/>
    </row>
    <row r="85" spans="1:22">
      <c r="A85" s="11"/>
      <c r="B85" s="11"/>
      <c r="C85" s="19"/>
      <c r="D85" s="17"/>
      <c r="E85" s="21"/>
      <c r="F85" s="22" t="str">
        <f t="shared" si="14"/>
        <v/>
      </c>
      <c r="G85" s="21"/>
      <c r="H85" s="22" t="str">
        <f t="shared" si="15"/>
        <v/>
      </c>
      <c r="I85" s="21"/>
      <c r="J85" s="22" t="str">
        <f t="shared" si="16"/>
        <v/>
      </c>
      <c r="K85" s="21"/>
      <c r="L85" s="22" t="str">
        <f t="shared" si="17"/>
        <v/>
      </c>
      <c r="M85" s="21"/>
      <c r="N85" s="22" t="str">
        <f t="shared" si="18"/>
        <v/>
      </c>
      <c r="O85" s="22" t="str">
        <f t="shared" si="19"/>
        <v/>
      </c>
      <c r="P85" s="11"/>
      <c r="Q85" s="17"/>
      <c r="R85" s="11"/>
      <c r="S85" s="17"/>
      <c r="T85" s="15" t="str">
        <f t="shared" si="20"/>
        <v/>
      </c>
      <c r="U85" s="11"/>
      <c r="V85" s="11"/>
    </row>
    <row r="86" spans="1:22">
      <c r="A86" s="11"/>
      <c r="B86" s="11"/>
      <c r="C86" s="19"/>
      <c r="D86" s="17"/>
      <c r="E86" s="21"/>
      <c r="F86" s="22" t="str">
        <f t="shared" si="14"/>
        <v/>
      </c>
      <c r="G86" s="21"/>
      <c r="H86" s="22" t="str">
        <f t="shared" si="15"/>
        <v/>
      </c>
      <c r="I86" s="21"/>
      <c r="J86" s="22" t="str">
        <f t="shared" si="16"/>
        <v/>
      </c>
      <c r="K86" s="21"/>
      <c r="L86" s="22" t="str">
        <f t="shared" si="17"/>
        <v/>
      </c>
      <c r="M86" s="21"/>
      <c r="N86" s="22" t="str">
        <f t="shared" si="18"/>
        <v/>
      </c>
      <c r="O86" s="22" t="str">
        <f t="shared" si="19"/>
        <v/>
      </c>
      <c r="P86" s="11"/>
      <c r="Q86" s="17"/>
      <c r="R86" s="11"/>
      <c r="S86" s="17"/>
      <c r="T86" s="15" t="str">
        <f t="shared" si="20"/>
        <v/>
      </c>
      <c r="U86" s="11"/>
      <c r="V86" s="11"/>
    </row>
    <row r="87" spans="1:22">
      <c r="A87" s="11"/>
      <c r="B87" s="11"/>
      <c r="C87" s="19"/>
      <c r="D87" s="17"/>
      <c r="E87" s="21"/>
      <c r="F87" s="22" t="str">
        <f t="shared" si="14"/>
        <v/>
      </c>
      <c r="G87" s="21"/>
      <c r="H87" s="22" t="str">
        <f t="shared" si="15"/>
        <v/>
      </c>
      <c r="I87" s="21"/>
      <c r="J87" s="22" t="str">
        <f t="shared" si="16"/>
        <v/>
      </c>
      <c r="K87" s="21"/>
      <c r="L87" s="22" t="str">
        <f t="shared" si="17"/>
        <v/>
      </c>
      <c r="M87" s="21"/>
      <c r="N87" s="22" t="str">
        <f t="shared" si="18"/>
        <v/>
      </c>
      <c r="O87" s="22" t="str">
        <f t="shared" si="19"/>
        <v/>
      </c>
      <c r="P87" s="11"/>
      <c r="Q87" s="17"/>
      <c r="R87" s="11"/>
      <c r="S87" s="17"/>
      <c r="T87" s="15" t="str">
        <f t="shared" si="20"/>
        <v/>
      </c>
      <c r="U87" s="11"/>
      <c r="V87" s="11"/>
    </row>
    <row r="88" spans="1:22">
      <c r="A88" s="11"/>
      <c r="B88" s="11"/>
      <c r="C88" s="19"/>
      <c r="D88" s="17"/>
      <c r="E88" s="21"/>
      <c r="F88" s="22" t="str">
        <f t="shared" si="14"/>
        <v/>
      </c>
      <c r="G88" s="21"/>
      <c r="H88" s="22" t="str">
        <f t="shared" si="15"/>
        <v/>
      </c>
      <c r="I88" s="21"/>
      <c r="J88" s="22" t="str">
        <f t="shared" si="16"/>
        <v/>
      </c>
      <c r="K88" s="21"/>
      <c r="L88" s="22" t="str">
        <f t="shared" si="17"/>
        <v/>
      </c>
      <c r="M88" s="21"/>
      <c r="N88" s="22" t="str">
        <f t="shared" si="18"/>
        <v/>
      </c>
      <c r="O88" s="22" t="str">
        <f t="shared" si="19"/>
        <v/>
      </c>
      <c r="P88" s="11"/>
      <c r="Q88" s="17"/>
      <c r="R88" s="11"/>
      <c r="S88" s="17"/>
      <c r="T88" s="15" t="str">
        <f t="shared" si="20"/>
        <v/>
      </c>
      <c r="U88" s="11"/>
      <c r="V88" s="11"/>
    </row>
    <row r="89" spans="1:22">
      <c r="A89" s="11"/>
      <c r="B89" s="11"/>
      <c r="C89" s="19"/>
      <c r="D89" s="17"/>
      <c r="E89" s="21"/>
      <c r="F89" s="22" t="str">
        <f t="shared" si="14"/>
        <v/>
      </c>
      <c r="G89" s="21"/>
      <c r="H89" s="22" t="str">
        <f t="shared" si="15"/>
        <v/>
      </c>
      <c r="I89" s="21"/>
      <c r="J89" s="22" t="str">
        <f t="shared" si="16"/>
        <v/>
      </c>
      <c r="K89" s="21"/>
      <c r="L89" s="22" t="str">
        <f t="shared" si="17"/>
        <v/>
      </c>
      <c r="M89" s="21"/>
      <c r="N89" s="22" t="str">
        <f t="shared" si="18"/>
        <v/>
      </c>
      <c r="O89" s="22" t="str">
        <f t="shared" si="19"/>
        <v/>
      </c>
      <c r="P89" s="11"/>
      <c r="Q89" s="17"/>
      <c r="R89" s="11"/>
      <c r="S89" s="17"/>
      <c r="T89" s="15" t="str">
        <f t="shared" si="20"/>
        <v/>
      </c>
      <c r="U89" s="11"/>
      <c r="V89" s="11"/>
    </row>
    <row r="90" spans="1:22">
      <c r="A90" s="11"/>
      <c r="B90" s="11"/>
      <c r="C90" s="19"/>
      <c r="D90" s="17"/>
      <c r="E90" s="21"/>
      <c r="F90" s="22" t="str">
        <f t="shared" si="14"/>
        <v/>
      </c>
      <c r="G90" s="21"/>
      <c r="H90" s="22" t="str">
        <f t="shared" si="15"/>
        <v/>
      </c>
      <c r="I90" s="21"/>
      <c r="J90" s="22" t="str">
        <f t="shared" si="16"/>
        <v/>
      </c>
      <c r="K90" s="21"/>
      <c r="L90" s="22" t="str">
        <f t="shared" si="17"/>
        <v/>
      </c>
      <c r="M90" s="21"/>
      <c r="N90" s="22" t="str">
        <f t="shared" si="18"/>
        <v/>
      </c>
      <c r="O90" s="22" t="str">
        <f t="shared" si="19"/>
        <v/>
      </c>
      <c r="P90" s="11"/>
      <c r="Q90" s="17"/>
      <c r="R90" s="11"/>
      <c r="S90" s="17"/>
      <c r="T90" s="15" t="str">
        <f t="shared" si="20"/>
        <v/>
      </c>
      <c r="U90" s="11"/>
      <c r="V90" s="11"/>
    </row>
    <row r="91" spans="1:22">
      <c r="A91" s="11"/>
      <c r="B91" s="11"/>
      <c r="C91" s="19"/>
      <c r="D91" s="17"/>
      <c r="E91" s="21"/>
      <c r="F91" s="22" t="str">
        <f t="shared" si="14"/>
        <v/>
      </c>
      <c r="G91" s="21"/>
      <c r="H91" s="22" t="str">
        <f t="shared" si="15"/>
        <v/>
      </c>
      <c r="I91" s="21"/>
      <c r="J91" s="22" t="str">
        <f t="shared" si="16"/>
        <v/>
      </c>
      <c r="K91" s="21"/>
      <c r="L91" s="22" t="str">
        <f t="shared" si="17"/>
        <v/>
      </c>
      <c r="M91" s="21"/>
      <c r="N91" s="22" t="str">
        <f t="shared" si="18"/>
        <v/>
      </c>
      <c r="O91" s="22" t="str">
        <f t="shared" si="19"/>
        <v/>
      </c>
      <c r="P91" s="11"/>
      <c r="Q91" s="17"/>
      <c r="R91" s="11"/>
      <c r="S91" s="17"/>
      <c r="T91" s="15" t="str">
        <f t="shared" si="20"/>
        <v/>
      </c>
      <c r="U91" s="11"/>
      <c r="V91" s="11"/>
    </row>
    <row r="92" spans="1:22">
      <c r="A92" s="11"/>
      <c r="B92" s="11"/>
      <c r="C92" s="19"/>
      <c r="D92" s="17"/>
      <c r="E92" s="21"/>
      <c r="F92" s="22" t="str">
        <f t="shared" si="14"/>
        <v/>
      </c>
      <c r="G92" s="21"/>
      <c r="H92" s="22" t="str">
        <f t="shared" si="15"/>
        <v/>
      </c>
      <c r="I92" s="21"/>
      <c r="J92" s="22" t="str">
        <f t="shared" si="16"/>
        <v/>
      </c>
      <c r="K92" s="21"/>
      <c r="L92" s="22" t="str">
        <f t="shared" si="17"/>
        <v/>
      </c>
      <c r="M92" s="21"/>
      <c r="N92" s="22" t="str">
        <f t="shared" si="18"/>
        <v/>
      </c>
      <c r="O92" s="22" t="str">
        <f t="shared" si="19"/>
        <v/>
      </c>
      <c r="P92" s="11"/>
      <c r="Q92" s="17"/>
      <c r="R92" s="11"/>
      <c r="S92" s="17"/>
      <c r="T92" s="15" t="str">
        <f t="shared" si="20"/>
        <v/>
      </c>
      <c r="U92" s="11"/>
      <c r="V92" s="11"/>
    </row>
    <row r="93" spans="1:22">
      <c r="A93" s="11"/>
      <c r="B93" s="11"/>
      <c r="C93" s="19"/>
      <c r="D93" s="17"/>
      <c r="E93" s="21"/>
      <c r="F93" s="22" t="str">
        <f t="shared" si="14"/>
        <v/>
      </c>
      <c r="G93" s="21"/>
      <c r="H93" s="22" t="str">
        <f t="shared" si="15"/>
        <v/>
      </c>
      <c r="I93" s="21"/>
      <c r="J93" s="22" t="str">
        <f t="shared" si="16"/>
        <v/>
      </c>
      <c r="K93" s="21"/>
      <c r="L93" s="22" t="str">
        <f t="shared" si="17"/>
        <v/>
      </c>
      <c r="M93" s="21"/>
      <c r="N93" s="22" t="str">
        <f t="shared" si="18"/>
        <v/>
      </c>
      <c r="O93" s="22" t="str">
        <f t="shared" si="19"/>
        <v/>
      </c>
      <c r="P93" s="11"/>
      <c r="Q93" s="17"/>
      <c r="R93" s="11"/>
      <c r="S93" s="17"/>
      <c r="T93" s="15" t="str">
        <f t="shared" si="20"/>
        <v/>
      </c>
      <c r="U93" s="11"/>
      <c r="V93" s="11"/>
    </row>
    <row r="94" spans="1:22">
      <c r="A94" s="11"/>
      <c r="B94" s="11"/>
      <c r="C94" s="19"/>
      <c r="D94" s="17"/>
      <c r="E94" s="21"/>
      <c r="F94" s="22" t="str">
        <f t="shared" si="14"/>
        <v/>
      </c>
      <c r="G94" s="21"/>
      <c r="H94" s="22" t="str">
        <f t="shared" si="15"/>
        <v/>
      </c>
      <c r="I94" s="21"/>
      <c r="J94" s="22" t="str">
        <f t="shared" si="16"/>
        <v/>
      </c>
      <c r="K94" s="21"/>
      <c r="L94" s="22" t="str">
        <f t="shared" si="17"/>
        <v/>
      </c>
      <c r="M94" s="21"/>
      <c r="N94" s="22" t="str">
        <f t="shared" si="18"/>
        <v/>
      </c>
      <c r="O94" s="22" t="str">
        <f t="shared" si="19"/>
        <v/>
      </c>
      <c r="P94" s="11"/>
      <c r="Q94" s="17"/>
      <c r="R94" s="11"/>
      <c r="S94" s="17"/>
      <c r="T94" s="15" t="str">
        <f t="shared" si="20"/>
        <v/>
      </c>
      <c r="U94" s="11"/>
      <c r="V94" s="11"/>
    </row>
    <row r="95" spans="1:22">
      <c r="A95" s="11"/>
      <c r="B95" s="11"/>
      <c r="C95" s="19"/>
      <c r="D95" s="17"/>
      <c r="E95" s="21"/>
      <c r="F95" s="22" t="str">
        <f t="shared" si="14"/>
        <v/>
      </c>
      <c r="G95" s="21"/>
      <c r="H95" s="22" t="str">
        <f t="shared" si="15"/>
        <v/>
      </c>
      <c r="I95" s="21"/>
      <c r="J95" s="22" t="str">
        <f t="shared" si="16"/>
        <v/>
      </c>
      <c r="K95" s="21"/>
      <c r="L95" s="22" t="str">
        <f t="shared" si="17"/>
        <v/>
      </c>
      <c r="M95" s="21"/>
      <c r="N95" s="22" t="str">
        <f t="shared" si="18"/>
        <v/>
      </c>
      <c r="O95" s="22" t="str">
        <f t="shared" si="19"/>
        <v/>
      </c>
      <c r="P95" s="11"/>
      <c r="Q95" s="17"/>
      <c r="R95" s="11"/>
      <c r="S95" s="17"/>
      <c r="T95" s="15" t="str">
        <f t="shared" si="20"/>
        <v/>
      </c>
      <c r="U95" s="11"/>
      <c r="V95" s="11"/>
    </row>
    <row r="96" spans="1:22">
      <c r="A96" s="11"/>
      <c r="B96" s="11"/>
      <c r="C96" s="19"/>
      <c r="D96" s="17"/>
      <c r="E96" s="21"/>
      <c r="F96" s="22" t="str">
        <f t="shared" si="14"/>
        <v/>
      </c>
      <c r="G96" s="21"/>
      <c r="H96" s="22" t="str">
        <f t="shared" si="15"/>
        <v/>
      </c>
      <c r="I96" s="21"/>
      <c r="J96" s="22" t="str">
        <f t="shared" si="16"/>
        <v/>
      </c>
      <c r="K96" s="21"/>
      <c r="L96" s="22" t="str">
        <f t="shared" si="17"/>
        <v/>
      </c>
      <c r="M96" s="21"/>
      <c r="N96" s="22" t="str">
        <f t="shared" si="18"/>
        <v/>
      </c>
      <c r="O96" s="22" t="str">
        <f t="shared" si="19"/>
        <v/>
      </c>
      <c r="P96" s="11"/>
      <c r="Q96" s="17"/>
      <c r="R96" s="11"/>
      <c r="S96" s="17"/>
      <c r="T96" s="15" t="str">
        <f t="shared" si="20"/>
        <v/>
      </c>
      <c r="U96" s="11"/>
      <c r="V96" s="11"/>
    </row>
    <row r="97" spans="1:22">
      <c r="A97" s="11"/>
      <c r="B97" s="11"/>
      <c r="C97" s="19"/>
      <c r="D97" s="17"/>
      <c r="E97" s="21"/>
      <c r="F97" s="22" t="str">
        <f t="shared" si="14"/>
        <v/>
      </c>
      <c r="G97" s="21"/>
      <c r="H97" s="22" t="str">
        <f t="shared" si="15"/>
        <v/>
      </c>
      <c r="I97" s="21"/>
      <c r="J97" s="22" t="str">
        <f t="shared" si="16"/>
        <v/>
      </c>
      <c r="K97" s="21"/>
      <c r="L97" s="22" t="str">
        <f t="shared" si="17"/>
        <v/>
      </c>
      <c r="M97" s="21"/>
      <c r="N97" s="22" t="str">
        <f t="shared" si="18"/>
        <v/>
      </c>
      <c r="O97" s="22" t="str">
        <f t="shared" si="19"/>
        <v/>
      </c>
      <c r="P97" s="11"/>
      <c r="Q97" s="17"/>
      <c r="R97" s="11"/>
      <c r="S97" s="17"/>
      <c r="T97" s="15" t="str">
        <f t="shared" si="20"/>
        <v/>
      </c>
      <c r="U97" s="11"/>
      <c r="V97" s="11"/>
    </row>
    <row r="98" spans="1:22">
      <c r="A98" s="11"/>
      <c r="B98" s="11"/>
      <c r="C98" s="19"/>
      <c r="D98" s="17"/>
      <c r="E98" s="21"/>
      <c r="F98" s="22" t="str">
        <f t="shared" si="14"/>
        <v/>
      </c>
      <c r="G98" s="21"/>
      <c r="H98" s="22" t="str">
        <f t="shared" si="15"/>
        <v/>
      </c>
      <c r="I98" s="21"/>
      <c r="J98" s="22" t="str">
        <f t="shared" si="16"/>
        <v/>
      </c>
      <c r="K98" s="21"/>
      <c r="L98" s="22" t="str">
        <f t="shared" si="17"/>
        <v/>
      </c>
      <c r="M98" s="21"/>
      <c r="N98" s="22" t="str">
        <f t="shared" si="18"/>
        <v/>
      </c>
      <c r="O98" s="22" t="str">
        <f t="shared" si="19"/>
        <v/>
      </c>
      <c r="P98" s="11"/>
      <c r="Q98" s="17"/>
      <c r="R98" s="11"/>
      <c r="S98" s="17"/>
      <c r="T98" s="15" t="str">
        <f t="shared" si="20"/>
        <v/>
      </c>
      <c r="U98" s="11"/>
      <c r="V98" s="11"/>
    </row>
    <row r="99" spans="1:22">
      <c r="A99" s="11"/>
      <c r="B99" s="11"/>
      <c r="C99" s="19"/>
      <c r="D99" s="17"/>
      <c r="E99" s="21"/>
      <c r="F99" s="22" t="str">
        <f t="shared" si="14"/>
        <v/>
      </c>
      <c r="G99" s="21"/>
      <c r="H99" s="22" t="str">
        <f t="shared" si="15"/>
        <v/>
      </c>
      <c r="I99" s="21"/>
      <c r="J99" s="22" t="str">
        <f t="shared" si="16"/>
        <v/>
      </c>
      <c r="K99" s="21"/>
      <c r="L99" s="22" t="str">
        <f t="shared" si="17"/>
        <v/>
      </c>
      <c r="M99" s="21"/>
      <c r="N99" s="22" t="str">
        <f t="shared" si="18"/>
        <v/>
      </c>
      <c r="O99" s="22" t="str">
        <f t="shared" si="19"/>
        <v/>
      </c>
      <c r="P99" s="11"/>
      <c r="Q99" s="17"/>
      <c r="R99" s="11"/>
      <c r="S99" s="17"/>
      <c r="T99" s="15" t="str">
        <f t="shared" si="20"/>
        <v/>
      </c>
      <c r="U99" s="11"/>
      <c r="V99" s="11"/>
    </row>
    <row r="100" spans="1:22">
      <c r="A100" s="11"/>
      <c r="B100" s="11"/>
      <c r="C100" s="19"/>
      <c r="D100" s="17"/>
      <c r="E100" s="21"/>
      <c r="F100" s="22" t="str">
        <f t="shared" si="14"/>
        <v/>
      </c>
      <c r="G100" s="21"/>
      <c r="H100" s="22" t="str">
        <f t="shared" si="15"/>
        <v/>
      </c>
      <c r="I100" s="21"/>
      <c r="J100" s="22" t="str">
        <f t="shared" si="16"/>
        <v/>
      </c>
      <c r="K100" s="21"/>
      <c r="L100" s="22" t="str">
        <f t="shared" si="17"/>
        <v/>
      </c>
      <c r="M100" s="21"/>
      <c r="N100" s="22" t="str">
        <f t="shared" si="18"/>
        <v/>
      </c>
      <c r="O100" s="22" t="str">
        <f t="shared" si="19"/>
        <v/>
      </c>
      <c r="P100" s="11"/>
      <c r="Q100" s="17"/>
      <c r="R100" s="11"/>
      <c r="S100" s="17"/>
      <c r="T100" s="15" t="str">
        <f t="shared" si="20"/>
        <v/>
      </c>
      <c r="U100" s="11"/>
      <c r="V100" s="11"/>
    </row>
    <row r="101" spans="1:22">
      <c r="A101" s="11"/>
      <c r="B101" s="11"/>
      <c r="C101" s="19"/>
      <c r="D101" s="17"/>
      <c r="E101" s="21"/>
      <c r="F101" s="22" t="str">
        <f t="shared" si="14"/>
        <v/>
      </c>
      <c r="G101" s="21"/>
      <c r="H101" s="22" t="str">
        <f t="shared" si="15"/>
        <v/>
      </c>
      <c r="I101" s="21"/>
      <c r="J101" s="22" t="str">
        <f t="shared" si="16"/>
        <v/>
      </c>
      <c r="K101" s="21"/>
      <c r="L101" s="22" t="str">
        <f t="shared" si="17"/>
        <v/>
      </c>
      <c r="M101" s="21"/>
      <c r="N101" s="22" t="str">
        <f t="shared" si="18"/>
        <v/>
      </c>
      <c r="O101" s="22" t="str">
        <f t="shared" si="19"/>
        <v/>
      </c>
      <c r="P101" s="11"/>
      <c r="Q101" s="17"/>
      <c r="R101" s="11"/>
      <c r="S101" s="17"/>
      <c r="T101" s="15" t="str">
        <f t="shared" si="20"/>
        <v/>
      </c>
      <c r="U101" s="11"/>
      <c r="V101" s="11"/>
    </row>
    <row r="102" spans="1:22">
      <c r="A102" s="11"/>
      <c r="B102" s="11"/>
      <c r="C102" s="19"/>
      <c r="D102" s="17"/>
      <c r="E102" s="21"/>
      <c r="F102" s="22" t="str">
        <f t="shared" ref="F102:F133" si="21">IF(E102="","",IF(E102/25&gt;=0.9,"Excelente",IF(E102/25&gt;=0.75,"Bueno",IF(E102/25&gt;=0.6,"Suficiente","Insuficiente"))))</f>
        <v/>
      </c>
      <c r="G102" s="21"/>
      <c r="H102" s="22" t="str">
        <f t="shared" ref="H102:H133" si="22">IF(G102="","",IF(G102/25&gt;=0.9,"Excelente",IF(G102/25&gt;=0.75,"Bueno",IF(G102/25&gt;=0.6,"Suficiente","Insuficiente"))))</f>
        <v/>
      </c>
      <c r="I102" s="21"/>
      <c r="J102" s="22" t="str">
        <f t="shared" ref="J102:J133" si="23">IF(I102="","",IF(I102/20&gt;=0.9,"Excelente",IF(I102/20&gt;=0.75,"Bueno",IF(I102/20&gt;=0.6,"Suficiente","Insuficiente"))))</f>
        <v/>
      </c>
      <c r="K102" s="21"/>
      <c r="L102" s="22" t="str">
        <f t="shared" ref="L102:L133" si="24">IF(K102="","",IF(K102/20&gt;=0.9,"Excelente",IF(K102/20&gt;=0.75,"Bueno",IF(K102/20&gt;=0.6,"Suficiente","Insuficiente"))))</f>
        <v/>
      </c>
      <c r="M102" s="21"/>
      <c r="N102" s="22" t="str">
        <f t="shared" ref="N102:N133" si="25">IF(M102="","",IF(M102/10&gt;=0.9,"Excelente",IF(M102/10&gt;=0.75,"Bueno",IF(M102/10&gt;=0.6,"Suficiente","Insuficiente"))))</f>
        <v/>
      </c>
      <c r="O102" s="22" t="str">
        <f t="shared" ref="O102:O125" si="26">IF(COUNT(E102,G102,I102,K102,M102)&lt;5,"",SUM(E102,G102,I102,K102,M102))</f>
        <v/>
      </c>
      <c r="P102" s="11"/>
      <c r="Q102" s="17"/>
      <c r="R102" s="11"/>
      <c r="S102" s="17"/>
      <c r="T102" s="15" t="str">
        <f t="shared" ref="T102:T133" si="27">IF(A102="","",IF(OR(D102="Sí",Q102="Sí",S102&lt;&gt;"Finalizada"),"No","Sí"))</f>
        <v/>
      </c>
      <c r="U102" s="11"/>
      <c r="V102" s="11"/>
    </row>
    <row r="103" spans="1:22">
      <c r="A103" s="11"/>
      <c r="B103" s="11"/>
      <c r="C103" s="19"/>
      <c r="D103" s="17"/>
      <c r="E103" s="21"/>
      <c r="F103" s="22" t="str">
        <f t="shared" si="21"/>
        <v/>
      </c>
      <c r="G103" s="21"/>
      <c r="H103" s="22" t="str">
        <f t="shared" si="22"/>
        <v/>
      </c>
      <c r="I103" s="21"/>
      <c r="J103" s="22" t="str">
        <f t="shared" si="23"/>
        <v/>
      </c>
      <c r="K103" s="21"/>
      <c r="L103" s="22" t="str">
        <f t="shared" si="24"/>
        <v/>
      </c>
      <c r="M103" s="21"/>
      <c r="N103" s="22" t="str">
        <f t="shared" si="25"/>
        <v/>
      </c>
      <c r="O103" s="22" t="str">
        <f t="shared" si="26"/>
        <v/>
      </c>
      <c r="P103" s="11"/>
      <c r="Q103" s="17"/>
      <c r="R103" s="11"/>
      <c r="S103" s="17"/>
      <c r="T103" s="15" t="str">
        <f t="shared" si="27"/>
        <v/>
      </c>
      <c r="U103" s="11"/>
      <c r="V103" s="11"/>
    </row>
    <row r="104" spans="1:22">
      <c r="A104" s="11"/>
      <c r="B104" s="11"/>
      <c r="C104" s="19"/>
      <c r="D104" s="17"/>
      <c r="E104" s="21"/>
      <c r="F104" s="22" t="str">
        <f t="shared" si="21"/>
        <v/>
      </c>
      <c r="G104" s="21"/>
      <c r="H104" s="22" t="str">
        <f t="shared" si="22"/>
        <v/>
      </c>
      <c r="I104" s="21"/>
      <c r="J104" s="22" t="str">
        <f t="shared" si="23"/>
        <v/>
      </c>
      <c r="K104" s="21"/>
      <c r="L104" s="22" t="str">
        <f t="shared" si="24"/>
        <v/>
      </c>
      <c r="M104" s="21"/>
      <c r="N104" s="22" t="str">
        <f t="shared" si="25"/>
        <v/>
      </c>
      <c r="O104" s="22" t="str">
        <f t="shared" si="26"/>
        <v/>
      </c>
      <c r="P104" s="11"/>
      <c r="Q104" s="17"/>
      <c r="R104" s="11"/>
      <c r="S104" s="17"/>
      <c r="T104" s="15" t="str">
        <f t="shared" si="27"/>
        <v/>
      </c>
      <c r="U104" s="11"/>
      <c r="V104" s="11"/>
    </row>
    <row r="105" spans="1:22">
      <c r="A105" s="11"/>
      <c r="B105" s="11"/>
      <c r="C105" s="19"/>
      <c r="D105" s="17"/>
      <c r="E105" s="21"/>
      <c r="F105" s="22" t="str">
        <f t="shared" si="21"/>
        <v/>
      </c>
      <c r="G105" s="21"/>
      <c r="H105" s="22" t="str">
        <f t="shared" si="22"/>
        <v/>
      </c>
      <c r="I105" s="21"/>
      <c r="J105" s="22" t="str">
        <f t="shared" si="23"/>
        <v/>
      </c>
      <c r="K105" s="21"/>
      <c r="L105" s="22" t="str">
        <f t="shared" si="24"/>
        <v/>
      </c>
      <c r="M105" s="21"/>
      <c r="N105" s="22" t="str">
        <f t="shared" si="25"/>
        <v/>
      </c>
      <c r="O105" s="22" t="str">
        <f t="shared" si="26"/>
        <v/>
      </c>
      <c r="P105" s="11"/>
      <c r="Q105" s="17"/>
      <c r="R105" s="11"/>
      <c r="S105" s="17"/>
      <c r="T105" s="15" t="str">
        <f t="shared" si="27"/>
        <v/>
      </c>
      <c r="U105" s="11"/>
      <c r="V105" s="11"/>
    </row>
    <row r="106" spans="1:22">
      <c r="A106" s="11"/>
      <c r="B106" s="11"/>
      <c r="C106" s="19"/>
      <c r="D106" s="17"/>
      <c r="E106" s="21"/>
      <c r="F106" s="22" t="str">
        <f t="shared" si="21"/>
        <v/>
      </c>
      <c r="G106" s="21"/>
      <c r="H106" s="22" t="str">
        <f t="shared" si="22"/>
        <v/>
      </c>
      <c r="I106" s="21"/>
      <c r="J106" s="22" t="str">
        <f t="shared" si="23"/>
        <v/>
      </c>
      <c r="K106" s="21"/>
      <c r="L106" s="22" t="str">
        <f t="shared" si="24"/>
        <v/>
      </c>
      <c r="M106" s="21"/>
      <c r="N106" s="22" t="str">
        <f t="shared" si="25"/>
        <v/>
      </c>
      <c r="O106" s="22" t="str">
        <f t="shared" si="26"/>
        <v/>
      </c>
      <c r="P106" s="11"/>
      <c r="Q106" s="17"/>
      <c r="R106" s="11"/>
      <c r="S106" s="17"/>
      <c r="T106" s="15" t="str">
        <f t="shared" si="27"/>
        <v/>
      </c>
      <c r="U106" s="11"/>
      <c r="V106" s="11"/>
    </row>
    <row r="107" spans="1:22">
      <c r="A107" s="11"/>
      <c r="B107" s="11"/>
      <c r="C107" s="19"/>
      <c r="D107" s="17"/>
      <c r="E107" s="21"/>
      <c r="F107" s="22" t="str">
        <f t="shared" si="21"/>
        <v/>
      </c>
      <c r="G107" s="21"/>
      <c r="H107" s="22" t="str">
        <f t="shared" si="22"/>
        <v/>
      </c>
      <c r="I107" s="21"/>
      <c r="J107" s="22" t="str">
        <f t="shared" si="23"/>
        <v/>
      </c>
      <c r="K107" s="21"/>
      <c r="L107" s="22" t="str">
        <f t="shared" si="24"/>
        <v/>
      </c>
      <c r="M107" s="21"/>
      <c r="N107" s="22" t="str">
        <f t="shared" si="25"/>
        <v/>
      </c>
      <c r="O107" s="22" t="str">
        <f t="shared" si="26"/>
        <v/>
      </c>
      <c r="P107" s="11"/>
      <c r="Q107" s="17"/>
      <c r="R107" s="11"/>
      <c r="S107" s="17"/>
      <c r="T107" s="15" t="str">
        <f t="shared" si="27"/>
        <v/>
      </c>
      <c r="U107" s="11"/>
      <c r="V107" s="11"/>
    </row>
    <row r="108" spans="1:22">
      <c r="A108" s="11"/>
      <c r="B108" s="11"/>
      <c r="C108" s="19"/>
      <c r="D108" s="17"/>
      <c r="E108" s="21"/>
      <c r="F108" s="22" t="str">
        <f t="shared" si="21"/>
        <v/>
      </c>
      <c r="G108" s="21"/>
      <c r="H108" s="22" t="str">
        <f t="shared" si="22"/>
        <v/>
      </c>
      <c r="I108" s="21"/>
      <c r="J108" s="22" t="str">
        <f t="shared" si="23"/>
        <v/>
      </c>
      <c r="K108" s="21"/>
      <c r="L108" s="22" t="str">
        <f t="shared" si="24"/>
        <v/>
      </c>
      <c r="M108" s="21"/>
      <c r="N108" s="22" t="str">
        <f t="shared" si="25"/>
        <v/>
      </c>
      <c r="O108" s="22" t="str">
        <f t="shared" si="26"/>
        <v/>
      </c>
      <c r="P108" s="11"/>
      <c r="Q108" s="17"/>
      <c r="R108" s="11"/>
      <c r="S108" s="17"/>
      <c r="T108" s="15" t="str">
        <f t="shared" si="27"/>
        <v/>
      </c>
      <c r="U108" s="11"/>
      <c r="V108" s="11"/>
    </row>
    <row r="109" spans="1:22">
      <c r="A109" s="11"/>
      <c r="B109" s="11"/>
      <c r="C109" s="19"/>
      <c r="D109" s="17"/>
      <c r="E109" s="21"/>
      <c r="F109" s="22" t="str">
        <f t="shared" si="21"/>
        <v/>
      </c>
      <c r="G109" s="21"/>
      <c r="H109" s="22" t="str">
        <f t="shared" si="22"/>
        <v/>
      </c>
      <c r="I109" s="21"/>
      <c r="J109" s="22" t="str">
        <f t="shared" si="23"/>
        <v/>
      </c>
      <c r="K109" s="21"/>
      <c r="L109" s="22" t="str">
        <f t="shared" si="24"/>
        <v/>
      </c>
      <c r="M109" s="21"/>
      <c r="N109" s="22" t="str">
        <f t="shared" si="25"/>
        <v/>
      </c>
      <c r="O109" s="22" t="str">
        <f t="shared" si="26"/>
        <v/>
      </c>
      <c r="P109" s="11"/>
      <c r="Q109" s="17"/>
      <c r="R109" s="11"/>
      <c r="S109" s="17"/>
      <c r="T109" s="15" t="str">
        <f t="shared" si="27"/>
        <v/>
      </c>
      <c r="U109" s="11"/>
      <c r="V109" s="11"/>
    </row>
    <row r="110" spans="1:22">
      <c r="A110" s="11"/>
      <c r="B110" s="11"/>
      <c r="C110" s="19"/>
      <c r="D110" s="17"/>
      <c r="E110" s="21"/>
      <c r="F110" s="22" t="str">
        <f t="shared" si="21"/>
        <v/>
      </c>
      <c r="G110" s="21"/>
      <c r="H110" s="22" t="str">
        <f t="shared" si="22"/>
        <v/>
      </c>
      <c r="I110" s="21"/>
      <c r="J110" s="22" t="str">
        <f t="shared" si="23"/>
        <v/>
      </c>
      <c r="K110" s="21"/>
      <c r="L110" s="22" t="str">
        <f t="shared" si="24"/>
        <v/>
      </c>
      <c r="M110" s="21"/>
      <c r="N110" s="22" t="str">
        <f t="shared" si="25"/>
        <v/>
      </c>
      <c r="O110" s="22" t="str">
        <f t="shared" si="26"/>
        <v/>
      </c>
      <c r="P110" s="11"/>
      <c r="Q110" s="17"/>
      <c r="R110" s="11"/>
      <c r="S110" s="17"/>
      <c r="T110" s="15" t="str">
        <f t="shared" si="27"/>
        <v/>
      </c>
      <c r="U110" s="11"/>
      <c r="V110" s="11"/>
    </row>
    <row r="111" spans="1:22">
      <c r="A111" s="11"/>
      <c r="B111" s="11"/>
      <c r="C111" s="19"/>
      <c r="D111" s="17"/>
      <c r="E111" s="21"/>
      <c r="F111" s="22" t="str">
        <f t="shared" si="21"/>
        <v/>
      </c>
      <c r="G111" s="21"/>
      <c r="H111" s="22" t="str">
        <f t="shared" si="22"/>
        <v/>
      </c>
      <c r="I111" s="21"/>
      <c r="J111" s="22" t="str">
        <f t="shared" si="23"/>
        <v/>
      </c>
      <c r="K111" s="21"/>
      <c r="L111" s="22" t="str">
        <f t="shared" si="24"/>
        <v/>
      </c>
      <c r="M111" s="21"/>
      <c r="N111" s="22" t="str">
        <f t="shared" si="25"/>
        <v/>
      </c>
      <c r="O111" s="22" t="str">
        <f t="shared" si="26"/>
        <v/>
      </c>
      <c r="P111" s="11"/>
      <c r="Q111" s="17"/>
      <c r="R111" s="11"/>
      <c r="S111" s="17"/>
      <c r="T111" s="15" t="str">
        <f t="shared" si="27"/>
        <v/>
      </c>
      <c r="U111" s="11"/>
      <c r="V111" s="11"/>
    </row>
    <row r="112" spans="1:22">
      <c r="A112" s="11"/>
      <c r="B112" s="11"/>
      <c r="C112" s="19"/>
      <c r="D112" s="17"/>
      <c r="E112" s="21"/>
      <c r="F112" s="22" t="str">
        <f t="shared" si="21"/>
        <v/>
      </c>
      <c r="G112" s="21"/>
      <c r="H112" s="22" t="str">
        <f t="shared" si="22"/>
        <v/>
      </c>
      <c r="I112" s="21"/>
      <c r="J112" s="22" t="str">
        <f t="shared" si="23"/>
        <v/>
      </c>
      <c r="K112" s="21"/>
      <c r="L112" s="22" t="str">
        <f t="shared" si="24"/>
        <v/>
      </c>
      <c r="M112" s="21"/>
      <c r="N112" s="22" t="str">
        <f t="shared" si="25"/>
        <v/>
      </c>
      <c r="O112" s="22" t="str">
        <f t="shared" si="26"/>
        <v/>
      </c>
      <c r="P112" s="11"/>
      <c r="Q112" s="17"/>
      <c r="R112" s="11"/>
      <c r="S112" s="17"/>
      <c r="T112" s="15" t="str">
        <f t="shared" si="27"/>
        <v/>
      </c>
      <c r="U112" s="11"/>
      <c r="V112" s="11"/>
    </row>
    <row r="113" spans="1:22">
      <c r="A113" s="11"/>
      <c r="B113" s="11"/>
      <c r="C113" s="19"/>
      <c r="D113" s="17"/>
      <c r="E113" s="21"/>
      <c r="F113" s="22" t="str">
        <f t="shared" si="21"/>
        <v/>
      </c>
      <c r="G113" s="21"/>
      <c r="H113" s="22" t="str">
        <f t="shared" si="22"/>
        <v/>
      </c>
      <c r="I113" s="21"/>
      <c r="J113" s="22" t="str">
        <f t="shared" si="23"/>
        <v/>
      </c>
      <c r="K113" s="21"/>
      <c r="L113" s="22" t="str">
        <f t="shared" si="24"/>
        <v/>
      </c>
      <c r="M113" s="21"/>
      <c r="N113" s="22" t="str">
        <f t="shared" si="25"/>
        <v/>
      </c>
      <c r="O113" s="22" t="str">
        <f t="shared" si="26"/>
        <v/>
      </c>
      <c r="P113" s="11"/>
      <c r="Q113" s="17"/>
      <c r="R113" s="11"/>
      <c r="S113" s="17"/>
      <c r="T113" s="15" t="str">
        <f t="shared" si="27"/>
        <v/>
      </c>
      <c r="U113" s="11"/>
      <c r="V113" s="11"/>
    </row>
    <row r="114" spans="1:22">
      <c r="A114" s="11"/>
      <c r="B114" s="11"/>
      <c r="C114" s="19"/>
      <c r="D114" s="17"/>
      <c r="E114" s="21"/>
      <c r="F114" s="22" t="str">
        <f t="shared" si="21"/>
        <v/>
      </c>
      <c r="G114" s="21"/>
      <c r="H114" s="22" t="str">
        <f t="shared" si="22"/>
        <v/>
      </c>
      <c r="I114" s="21"/>
      <c r="J114" s="22" t="str">
        <f t="shared" si="23"/>
        <v/>
      </c>
      <c r="K114" s="21"/>
      <c r="L114" s="22" t="str">
        <f t="shared" si="24"/>
        <v/>
      </c>
      <c r="M114" s="21"/>
      <c r="N114" s="22" t="str">
        <f t="shared" si="25"/>
        <v/>
      </c>
      <c r="O114" s="22" t="str">
        <f t="shared" si="26"/>
        <v/>
      </c>
      <c r="P114" s="11"/>
      <c r="Q114" s="17"/>
      <c r="R114" s="11"/>
      <c r="S114" s="17"/>
      <c r="T114" s="15" t="str">
        <f t="shared" si="27"/>
        <v/>
      </c>
      <c r="U114" s="11"/>
      <c r="V114" s="11"/>
    </row>
    <row r="115" spans="1:22">
      <c r="A115" s="11"/>
      <c r="B115" s="11"/>
      <c r="C115" s="19"/>
      <c r="D115" s="17"/>
      <c r="E115" s="21"/>
      <c r="F115" s="22" t="str">
        <f t="shared" si="21"/>
        <v/>
      </c>
      <c r="G115" s="21"/>
      <c r="H115" s="22" t="str">
        <f t="shared" si="22"/>
        <v/>
      </c>
      <c r="I115" s="21"/>
      <c r="J115" s="22" t="str">
        <f t="shared" si="23"/>
        <v/>
      </c>
      <c r="K115" s="21"/>
      <c r="L115" s="22" t="str">
        <f t="shared" si="24"/>
        <v/>
      </c>
      <c r="M115" s="21"/>
      <c r="N115" s="22" t="str">
        <f t="shared" si="25"/>
        <v/>
      </c>
      <c r="O115" s="22" t="str">
        <f t="shared" si="26"/>
        <v/>
      </c>
      <c r="P115" s="11"/>
      <c r="Q115" s="17"/>
      <c r="R115" s="11"/>
      <c r="S115" s="17"/>
      <c r="T115" s="15" t="str">
        <f t="shared" si="27"/>
        <v/>
      </c>
      <c r="U115" s="11"/>
      <c r="V115" s="11"/>
    </row>
    <row r="116" spans="1:22">
      <c r="A116" s="11"/>
      <c r="B116" s="11"/>
      <c r="C116" s="19"/>
      <c r="D116" s="17"/>
      <c r="E116" s="21"/>
      <c r="F116" s="22" t="str">
        <f t="shared" si="21"/>
        <v/>
      </c>
      <c r="G116" s="21"/>
      <c r="H116" s="22" t="str">
        <f t="shared" si="22"/>
        <v/>
      </c>
      <c r="I116" s="21"/>
      <c r="J116" s="22" t="str">
        <f t="shared" si="23"/>
        <v/>
      </c>
      <c r="K116" s="21"/>
      <c r="L116" s="22" t="str">
        <f t="shared" si="24"/>
        <v/>
      </c>
      <c r="M116" s="21"/>
      <c r="N116" s="22" t="str">
        <f t="shared" si="25"/>
        <v/>
      </c>
      <c r="O116" s="22" t="str">
        <f t="shared" si="26"/>
        <v/>
      </c>
      <c r="P116" s="11"/>
      <c r="Q116" s="17"/>
      <c r="R116" s="11"/>
      <c r="S116" s="17"/>
      <c r="T116" s="15" t="str">
        <f t="shared" si="27"/>
        <v/>
      </c>
      <c r="U116" s="11"/>
      <c r="V116" s="11"/>
    </row>
    <row r="117" spans="1:22">
      <c r="A117" s="11"/>
      <c r="B117" s="11"/>
      <c r="C117" s="19"/>
      <c r="D117" s="17"/>
      <c r="E117" s="21"/>
      <c r="F117" s="22" t="str">
        <f t="shared" si="21"/>
        <v/>
      </c>
      <c r="G117" s="21"/>
      <c r="H117" s="22" t="str">
        <f t="shared" si="22"/>
        <v/>
      </c>
      <c r="I117" s="21"/>
      <c r="J117" s="22" t="str">
        <f t="shared" si="23"/>
        <v/>
      </c>
      <c r="K117" s="21"/>
      <c r="L117" s="22" t="str">
        <f t="shared" si="24"/>
        <v/>
      </c>
      <c r="M117" s="21"/>
      <c r="N117" s="22" t="str">
        <f t="shared" si="25"/>
        <v/>
      </c>
      <c r="O117" s="22" t="str">
        <f t="shared" si="26"/>
        <v/>
      </c>
      <c r="P117" s="11"/>
      <c r="Q117" s="17"/>
      <c r="R117" s="11"/>
      <c r="S117" s="17"/>
      <c r="T117" s="15" t="str">
        <f t="shared" si="27"/>
        <v/>
      </c>
      <c r="U117" s="11"/>
      <c r="V117" s="11"/>
    </row>
    <row r="118" spans="1:22">
      <c r="A118" s="11"/>
      <c r="B118" s="11"/>
      <c r="C118" s="19"/>
      <c r="D118" s="17"/>
      <c r="E118" s="21"/>
      <c r="F118" s="22" t="str">
        <f t="shared" si="21"/>
        <v/>
      </c>
      <c r="G118" s="21"/>
      <c r="H118" s="22" t="str">
        <f t="shared" si="22"/>
        <v/>
      </c>
      <c r="I118" s="21"/>
      <c r="J118" s="22" t="str">
        <f t="shared" si="23"/>
        <v/>
      </c>
      <c r="K118" s="21"/>
      <c r="L118" s="22" t="str">
        <f t="shared" si="24"/>
        <v/>
      </c>
      <c r="M118" s="21"/>
      <c r="N118" s="22" t="str">
        <f t="shared" si="25"/>
        <v/>
      </c>
      <c r="O118" s="22" t="str">
        <f t="shared" si="26"/>
        <v/>
      </c>
      <c r="P118" s="11"/>
      <c r="Q118" s="17"/>
      <c r="R118" s="11"/>
      <c r="S118" s="17"/>
      <c r="T118" s="15" t="str">
        <f t="shared" si="27"/>
        <v/>
      </c>
      <c r="U118" s="11"/>
      <c r="V118" s="11"/>
    </row>
    <row r="119" spans="1:22">
      <c r="A119" s="11"/>
      <c r="B119" s="11"/>
      <c r="C119" s="19"/>
      <c r="D119" s="17"/>
      <c r="E119" s="21"/>
      <c r="F119" s="22" t="str">
        <f t="shared" si="21"/>
        <v/>
      </c>
      <c r="G119" s="21"/>
      <c r="H119" s="22" t="str">
        <f t="shared" si="22"/>
        <v/>
      </c>
      <c r="I119" s="21"/>
      <c r="J119" s="22" t="str">
        <f t="shared" si="23"/>
        <v/>
      </c>
      <c r="K119" s="21"/>
      <c r="L119" s="22" t="str">
        <f t="shared" si="24"/>
        <v/>
      </c>
      <c r="M119" s="21"/>
      <c r="N119" s="22" t="str">
        <f t="shared" si="25"/>
        <v/>
      </c>
      <c r="O119" s="22" t="str">
        <f t="shared" si="26"/>
        <v/>
      </c>
      <c r="P119" s="11"/>
      <c r="Q119" s="17"/>
      <c r="R119" s="11"/>
      <c r="S119" s="17"/>
      <c r="T119" s="15" t="str">
        <f t="shared" si="27"/>
        <v/>
      </c>
      <c r="U119" s="11"/>
      <c r="V119" s="11"/>
    </row>
    <row r="120" spans="1:22">
      <c r="A120" s="11"/>
      <c r="B120" s="11"/>
      <c r="C120" s="19"/>
      <c r="D120" s="17"/>
      <c r="E120" s="21"/>
      <c r="F120" s="22" t="str">
        <f t="shared" si="21"/>
        <v/>
      </c>
      <c r="G120" s="21"/>
      <c r="H120" s="22" t="str">
        <f t="shared" si="22"/>
        <v/>
      </c>
      <c r="I120" s="21"/>
      <c r="J120" s="22" t="str">
        <f t="shared" si="23"/>
        <v/>
      </c>
      <c r="K120" s="21"/>
      <c r="L120" s="22" t="str">
        <f t="shared" si="24"/>
        <v/>
      </c>
      <c r="M120" s="21"/>
      <c r="N120" s="22" t="str">
        <f t="shared" si="25"/>
        <v/>
      </c>
      <c r="O120" s="22" t="str">
        <f t="shared" si="26"/>
        <v/>
      </c>
      <c r="P120" s="11"/>
      <c r="Q120" s="17"/>
      <c r="R120" s="11"/>
      <c r="S120" s="17"/>
      <c r="T120" s="15" t="str">
        <f t="shared" si="27"/>
        <v/>
      </c>
      <c r="U120" s="11"/>
      <c r="V120" s="11"/>
    </row>
    <row r="121" spans="1:22">
      <c r="A121" s="11"/>
      <c r="B121" s="11"/>
      <c r="C121" s="19"/>
      <c r="D121" s="17"/>
      <c r="E121" s="21"/>
      <c r="F121" s="22" t="str">
        <f t="shared" si="21"/>
        <v/>
      </c>
      <c r="G121" s="21"/>
      <c r="H121" s="22" t="str">
        <f t="shared" si="22"/>
        <v/>
      </c>
      <c r="I121" s="21"/>
      <c r="J121" s="22" t="str">
        <f t="shared" si="23"/>
        <v/>
      </c>
      <c r="K121" s="21"/>
      <c r="L121" s="22" t="str">
        <f t="shared" si="24"/>
        <v/>
      </c>
      <c r="M121" s="21"/>
      <c r="N121" s="22" t="str">
        <f t="shared" si="25"/>
        <v/>
      </c>
      <c r="O121" s="22" t="str">
        <f t="shared" si="26"/>
        <v/>
      </c>
      <c r="P121" s="11"/>
      <c r="Q121" s="17"/>
      <c r="R121" s="11"/>
      <c r="S121" s="17"/>
      <c r="T121" s="15" t="str">
        <f t="shared" si="27"/>
        <v/>
      </c>
      <c r="U121" s="11"/>
      <c r="V121" s="11"/>
    </row>
    <row r="122" spans="1:22">
      <c r="A122" s="11"/>
      <c r="B122" s="11"/>
      <c r="C122" s="19"/>
      <c r="D122" s="17"/>
      <c r="E122" s="21"/>
      <c r="F122" s="22" t="str">
        <f t="shared" si="21"/>
        <v/>
      </c>
      <c r="G122" s="21"/>
      <c r="H122" s="22" t="str">
        <f t="shared" si="22"/>
        <v/>
      </c>
      <c r="I122" s="21"/>
      <c r="J122" s="22" t="str">
        <f t="shared" si="23"/>
        <v/>
      </c>
      <c r="K122" s="21"/>
      <c r="L122" s="22" t="str">
        <f t="shared" si="24"/>
        <v/>
      </c>
      <c r="M122" s="21"/>
      <c r="N122" s="22" t="str">
        <f t="shared" si="25"/>
        <v/>
      </c>
      <c r="O122" s="22" t="str">
        <f t="shared" si="26"/>
        <v/>
      </c>
      <c r="P122" s="11"/>
      <c r="Q122" s="17"/>
      <c r="R122" s="11"/>
      <c r="S122" s="17"/>
      <c r="T122" s="15" t="str">
        <f t="shared" si="27"/>
        <v/>
      </c>
      <c r="U122" s="11"/>
      <c r="V122" s="11"/>
    </row>
    <row r="123" spans="1:22">
      <c r="A123" s="11"/>
      <c r="B123" s="11"/>
      <c r="C123" s="19"/>
      <c r="D123" s="17"/>
      <c r="E123" s="21"/>
      <c r="F123" s="22" t="str">
        <f t="shared" si="21"/>
        <v/>
      </c>
      <c r="G123" s="21"/>
      <c r="H123" s="22" t="str">
        <f t="shared" si="22"/>
        <v/>
      </c>
      <c r="I123" s="21"/>
      <c r="J123" s="22" t="str">
        <f t="shared" si="23"/>
        <v/>
      </c>
      <c r="K123" s="21"/>
      <c r="L123" s="22" t="str">
        <f t="shared" si="24"/>
        <v/>
      </c>
      <c r="M123" s="21"/>
      <c r="N123" s="22" t="str">
        <f t="shared" si="25"/>
        <v/>
      </c>
      <c r="O123" s="22" t="str">
        <f t="shared" si="26"/>
        <v/>
      </c>
      <c r="P123" s="11"/>
      <c r="Q123" s="17"/>
      <c r="R123" s="11"/>
      <c r="S123" s="17"/>
      <c r="T123" s="15" t="str">
        <f t="shared" si="27"/>
        <v/>
      </c>
      <c r="U123" s="11"/>
      <c r="V123" s="11"/>
    </row>
    <row r="124" spans="1:22">
      <c r="A124" s="11"/>
      <c r="B124" s="11"/>
      <c r="C124" s="19"/>
      <c r="D124" s="17"/>
      <c r="E124" s="21"/>
      <c r="F124" s="22" t="str">
        <f t="shared" si="21"/>
        <v/>
      </c>
      <c r="G124" s="21"/>
      <c r="H124" s="22" t="str">
        <f t="shared" si="22"/>
        <v/>
      </c>
      <c r="I124" s="21"/>
      <c r="J124" s="22" t="str">
        <f t="shared" si="23"/>
        <v/>
      </c>
      <c r="K124" s="21"/>
      <c r="L124" s="22" t="str">
        <f t="shared" si="24"/>
        <v/>
      </c>
      <c r="M124" s="21"/>
      <c r="N124" s="22" t="str">
        <f t="shared" si="25"/>
        <v/>
      </c>
      <c r="O124" s="22" t="str">
        <f t="shared" si="26"/>
        <v/>
      </c>
      <c r="P124" s="11"/>
      <c r="Q124" s="17"/>
      <c r="R124" s="11"/>
      <c r="S124" s="17"/>
      <c r="T124" s="15" t="str">
        <f t="shared" si="27"/>
        <v/>
      </c>
      <c r="U124" s="11"/>
      <c r="V124" s="11"/>
    </row>
    <row r="125" spans="1:22">
      <c r="A125" s="12"/>
      <c r="B125" s="12"/>
      <c r="C125" s="20"/>
      <c r="D125" s="18"/>
      <c r="E125" s="23"/>
      <c r="F125" s="24" t="str">
        <f t="shared" si="21"/>
        <v/>
      </c>
      <c r="G125" s="23"/>
      <c r="H125" s="24" t="str">
        <f t="shared" si="22"/>
        <v/>
      </c>
      <c r="I125" s="23"/>
      <c r="J125" s="24" t="str">
        <f t="shared" si="23"/>
        <v/>
      </c>
      <c r="K125" s="23"/>
      <c r="L125" s="24" t="str">
        <f t="shared" si="24"/>
        <v/>
      </c>
      <c r="M125" s="23"/>
      <c r="N125" s="24" t="str">
        <f t="shared" si="25"/>
        <v/>
      </c>
      <c r="O125" s="24" t="str">
        <f t="shared" si="26"/>
        <v/>
      </c>
      <c r="P125" s="12"/>
      <c r="Q125" s="18"/>
      <c r="R125" s="12"/>
      <c r="S125" s="18"/>
      <c r="T125" s="16" t="str">
        <f t="shared" si="27"/>
        <v/>
      </c>
      <c r="U125" s="12"/>
      <c r="V125" s="12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9">
      <c r="A128" s="36" t="s">
        <v>61</v>
      </c>
      <c r="B128" s="36"/>
      <c r="C128" s="36"/>
      <c r="D128" s="3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7.75">
      <c r="A129" s="29" t="s">
        <v>62</v>
      </c>
      <c r="B129" s="29" t="s">
        <v>63</v>
      </c>
      <c r="C129" s="29" t="s">
        <v>64</v>
      </c>
      <c r="D129" s="29" t="s">
        <v>65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94.5">
      <c r="A130" s="5" t="s">
        <v>81</v>
      </c>
      <c r="B130" s="5">
        <v>25</v>
      </c>
      <c r="C130" s="5" t="s">
        <v>82</v>
      </c>
      <c r="D130" s="5" t="s">
        <v>68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08">
      <c r="A131" s="5" t="s">
        <v>83</v>
      </c>
      <c r="B131" s="5">
        <v>25</v>
      </c>
      <c r="C131" s="5" t="s">
        <v>84</v>
      </c>
      <c r="D131" s="5" t="s">
        <v>68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1.5">
      <c r="A132" s="5" t="s">
        <v>85</v>
      </c>
      <c r="B132" s="5">
        <v>20</v>
      </c>
      <c r="C132" s="5" t="s">
        <v>86</v>
      </c>
      <c r="D132" s="5" t="s">
        <v>68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08">
      <c r="A133" s="5" t="s">
        <v>87</v>
      </c>
      <c r="B133" s="5">
        <v>20</v>
      </c>
      <c r="C133" s="5" t="s">
        <v>88</v>
      </c>
      <c r="D133" s="5" t="s">
        <v>68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81">
      <c r="A134" s="30" t="s">
        <v>89</v>
      </c>
      <c r="B134" s="30">
        <v>10</v>
      </c>
      <c r="C134" s="30" t="s">
        <v>90</v>
      </c>
      <c r="D134" s="30" t="s">
        <v>68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3">
    <mergeCell ref="A1:V2"/>
    <mergeCell ref="A3:V3"/>
    <mergeCell ref="A128:D128"/>
  </mergeCells>
  <conditionalFormatting sqref="D6:D125">
    <cfRule type="expression" dxfId="7" priority="2">
      <formula>D6="Sí"</formula>
    </cfRule>
  </conditionalFormatting>
  <conditionalFormatting sqref="O6:O125">
    <cfRule type="colorScale" priority="1">
      <colorScale>
        <cfvo type="min"/>
        <cfvo type="percentile" val="50"/>
        <cfvo type="max"/>
        <color rgb="FFFDE2E2"/>
        <color rgb="FFFFF1C7"/>
        <color rgb="FFDDF3E7"/>
      </colorScale>
    </cfRule>
  </conditionalFormatting>
  <conditionalFormatting sqref="Q6:Q125">
    <cfRule type="expression" dxfId="6" priority="3">
      <formula>Q6="Sí"</formula>
    </cfRule>
  </conditionalFormatting>
  <conditionalFormatting sqref="T6:T125">
    <cfRule type="expression" dxfId="5" priority="4">
      <formula>T6="Sí"</formula>
    </cfRule>
    <cfRule type="expression" dxfId="4" priority="5">
      <formula>T6="No"</formula>
    </cfRule>
  </conditionalFormatting>
  <dataValidations count="5">
    <dataValidation type="list" sqref="D6:D125 Q6:Q125" xr:uid="{00000000-0002-0000-0200-000000000000}">
      <formula1>"No,Sí"</formula1>
    </dataValidation>
    <dataValidation type="list" sqref="S6:S125" xr:uid="{00000000-0002-0000-0200-000002000000}">
      <formula1>"En captura,Finalizada"</formula1>
    </dataValidation>
    <dataValidation type="decimal" sqref="E6:E125 G6:G125" xr:uid="{00000000-0002-0000-0200-000003000000}">
      <formula1>0</formula1>
      <formula2>25</formula2>
    </dataValidation>
    <dataValidation type="decimal" sqref="I6:I125 K6:K125" xr:uid="{00000000-0002-0000-0200-000005000000}">
      <formula1>0</formula1>
      <formula2>20</formula2>
    </dataValidation>
    <dataValidation type="decimal" sqref="M6:M125" xr:uid="{00000000-0002-0000-0200-000007000000}">
      <formula1>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workbookViewId="0">
      <selection sqref="A1:K2"/>
    </sheetView>
  </sheetViews>
  <sheetFormatPr baseColWidth="10" defaultColWidth="9" defaultRowHeight="13.5"/>
  <cols>
    <col min="1" max="2" width="17" customWidth="1"/>
    <col min="3" max="3" width="15" customWidth="1"/>
    <col min="4" max="8" width="13" customWidth="1"/>
    <col min="9" max="9" width="18" customWidth="1"/>
    <col min="10" max="10" width="15" customWidth="1"/>
    <col min="11" max="11" width="36" customWidth="1"/>
    <col min="13" max="13" width="9" customWidth="1"/>
    <col min="14" max="14" width="42" customWidth="1"/>
    <col min="15" max="15" width="10" customWidth="1"/>
  </cols>
  <sheetData>
    <row r="1" spans="1:22" ht="13.9">
      <c r="A1" s="37" t="s">
        <v>91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1"/>
      <c r="M1" s="36" t="s">
        <v>92</v>
      </c>
      <c r="N1" s="36"/>
      <c r="O1" s="36"/>
      <c r="P1" s="1"/>
      <c r="Q1" s="1"/>
      <c r="R1" s="1"/>
      <c r="S1" s="1"/>
      <c r="T1" s="1"/>
      <c r="U1" s="1"/>
      <c r="V1" s="1"/>
    </row>
    <row r="2" spans="1:22" ht="13.9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1"/>
      <c r="M2" s="29" t="s">
        <v>93</v>
      </c>
      <c r="N2" s="29" t="s">
        <v>62</v>
      </c>
      <c r="O2" s="29" t="s">
        <v>63</v>
      </c>
      <c r="P2" s="1"/>
      <c r="Q2" s="1"/>
      <c r="R2" s="1"/>
      <c r="S2" s="1"/>
      <c r="T2" s="1"/>
      <c r="U2" s="1"/>
      <c r="V2" s="1"/>
    </row>
    <row r="3" spans="1:22" ht="27.4">
      <c r="A3" s="35" t="s">
        <v>94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1"/>
      <c r="M3" s="5" t="s">
        <v>95</v>
      </c>
      <c r="N3" s="5" t="s">
        <v>96</v>
      </c>
      <c r="O3" s="5">
        <v>15</v>
      </c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97</v>
      </c>
      <c r="N4" s="5" t="s">
        <v>98</v>
      </c>
      <c r="O4" s="5">
        <v>25</v>
      </c>
      <c r="P4" s="1"/>
      <c r="Q4" s="1"/>
      <c r="R4" s="1"/>
      <c r="S4" s="1"/>
      <c r="T4" s="1"/>
      <c r="U4" s="1"/>
      <c r="V4" s="1"/>
    </row>
    <row r="5" spans="1:22" ht="19.05" customHeight="1">
      <c r="A5" s="28" t="s">
        <v>39</v>
      </c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  <c r="I5" s="28" t="s">
        <v>106</v>
      </c>
      <c r="J5" s="28" t="s">
        <v>107</v>
      </c>
      <c r="K5" s="28" t="s">
        <v>108</v>
      </c>
      <c r="L5" s="1"/>
      <c r="M5" s="5" t="s">
        <v>109</v>
      </c>
      <c r="N5" s="5" t="s">
        <v>110</v>
      </c>
      <c r="O5" s="5">
        <v>25</v>
      </c>
      <c r="P5" s="1"/>
      <c r="Q5" s="1"/>
      <c r="R5" s="1"/>
      <c r="S5" s="1"/>
      <c r="T5" s="1"/>
      <c r="U5" s="1"/>
      <c r="V5" s="1"/>
    </row>
    <row r="6" spans="1:22" ht="27">
      <c r="A6" s="17"/>
      <c r="B6" s="13" t="str">
        <f>IF(A6="","",COUNTIFS('Evaluación escrita'!$A$6:$A$125,A6,'Evaluación escrita'!$T$6:$T$125,"Sí"))</f>
        <v/>
      </c>
      <c r="C6" s="25" t="str">
        <f>IF(A6="","",IFERROR(SUMIFS('Evaluación escrita'!$O$6:$O$125,'Evaluación escrita'!$A$6:$A$125,A6,'Evaluación escrita'!$T$6:$T$125,"Sí")/B6,""))</f>
        <v/>
      </c>
      <c r="D6" s="25" t="str">
        <f>IF(A6="","",IFERROR(SUMIFS('Evaluación escrita'!$E$6:$E$125,'Evaluación escrita'!$A$6:$A$125,A6,'Evaluación escrita'!$T$6:$T$125,"Sí")/B6,""))</f>
        <v/>
      </c>
      <c r="E6" s="25" t="str">
        <f>IF(A6="","",IFERROR(SUMIFS('Evaluación escrita'!$G$6:$G$125,'Evaluación escrita'!$A$6:$A$125,A6,'Evaluación escrita'!$T$6:$T$125,"Sí")/B6,""))</f>
        <v/>
      </c>
      <c r="F6" s="25" t="str">
        <f>IF(A6="","",IFERROR(SUMIFS('Evaluación escrita'!$I$6:$I$125,'Evaluación escrita'!$A$6:$A$125,A6,'Evaluación escrita'!$T$6:$T$125,"Sí")/B6,""))</f>
        <v/>
      </c>
      <c r="G6" s="25" t="str">
        <f>IF(A6="","",IFERROR(SUMIFS('Evaluación escrita'!$K$6:$K$125,'Evaluación escrita'!$A$6:$A$125,A6,'Evaluación escrita'!$T$6:$T$125,"Sí")/B6,""))</f>
        <v/>
      </c>
      <c r="H6" s="25" t="str">
        <f>IF(A6="","",IFERROR(SUMIFS('Evaluación escrita'!$M$6:$M$125,'Evaluación escrita'!$A$6:$A$125,A6,'Evaluación escrita'!$T$6:$T$125,"Sí")/B6,""))</f>
        <v/>
      </c>
      <c r="I6" s="13" t="str">
        <f>IF(A6="","",IF(B6&gt;=Instrucciones!$B24,"Sí","Pendiente"))</f>
        <v/>
      </c>
      <c r="J6" s="13" t="str">
        <f t="shared" ref="J6:J37" si="0">IF(C6="","",RANK(C6,$C$6:$C$65,0))</f>
        <v/>
      </c>
      <c r="K6" s="11"/>
      <c r="L6" s="1"/>
      <c r="M6" s="5" t="s">
        <v>111</v>
      </c>
      <c r="N6" s="5" t="s">
        <v>112</v>
      </c>
      <c r="O6" s="5">
        <v>20</v>
      </c>
      <c r="P6" s="1"/>
      <c r="Q6" s="1"/>
      <c r="R6" s="1"/>
      <c r="S6" s="1"/>
      <c r="T6" s="1"/>
      <c r="U6" s="1"/>
      <c r="V6" s="1"/>
    </row>
    <row r="7" spans="1:22" ht="27">
      <c r="A7" s="17"/>
      <c r="B7" s="13" t="str">
        <f>IF(A7="","",COUNTIFS('Evaluación escrita'!$A$6:$A$125,A7,'Evaluación escrita'!$T$6:$T$125,"Sí"))</f>
        <v/>
      </c>
      <c r="C7" s="25" t="str">
        <f>IF(A7="","",IFERROR(SUMIFS('Evaluación escrita'!$O$6:$O$125,'Evaluación escrita'!$A$6:$A$125,A7,'Evaluación escrita'!$T$6:$T$125,"Sí")/B7,""))</f>
        <v/>
      </c>
      <c r="D7" s="25" t="str">
        <f>IF(A7="","",IFERROR(SUMIFS('Evaluación escrita'!$E$6:$E$125,'Evaluación escrita'!$A$6:$A$125,A7,'Evaluación escrita'!$T$6:$T$125,"Sí")/B7,""))</f>
        <v/>
      </c>
      <c r="E7" s="25" t="str">
        <f>IF(A7="","",IFERROR(SUMIFS('Evaluación escrita'!$G$6:$G$125,'Evaluación escrita'!$A$6:$A$125,A7,'Evaluación escrita'!$T$6:$T$125,"Sí")/B7,""))</f>
        <v/>
      </c>
      <c r="F7" s="25" t="str">
        <f>IF(A7="","",IFERROR(SUMIFS('Evaluación escrita'!$I$6:$I$125,'Evaluación escrita'!$A$6:$A$125,A7,'Evaluación escrita'!$T$6:$T$125,"Sí")/B7,""))</f>
        <v/>
      </c>
      <c r="G7" s="25" t="str">
        <f>IF(A7="","",IFERROR(SUMIFS('Evaluación escrita'!$K$6:$K$125,'Evaluación escrita'!$A$6:$A$125,A7,'Evaluación escrita'!$T$6:$T$125,"Sí")/B7,""))</f>
        <v/>
      </c>
      <c r="H7" s="25" t="str">
        <f>IF(A7="","",IFERROR(SUMIFS('Evaluación escrita'!$M$6:$M$125,'Evaluación escrita'!$A$6:$A$125,A7,'Evaluación escrita'!$T$6:$T$125,"Sí")/B7,""))</f>
        <v/>
      </c>
      <c r="I7" s="13" t="str">
        <f>IF(A7="","",IF(B7&gt;=Instrucciones!$B25,"Sí","Pendiente"))</f>
        <v/>
      </c>
      <c r="J7" s="13" t="str">
        <f t="shared" si="0"/>
        <v/>
      </c>
      <c r="K7" s="11"/>
      <c r="L7" s="1"/>
      <c r="M7" s="5" t="s">
        <v>113</v>
      </c>
      <c r="N7" s="5" t="s">
        <v>114</v>
      </c>
      <c r="O7" s="5">
        <v>15</v>
      </c>
      <c r="P7" s="1"/>
      <c r="Q7" s="1"/>
      <c r="R7" s="1"/>
      <c r="S7" s="1"/>
      <c r="T7" s="1"/>
      <c r="U7" s="1"/>
      <c r="V7" s="1"/>
    </row>
    <row r="8" spans="1:22">
      <c r="A8" s="17"/>
      <c r="B8" s="13" t="str">
        <f>IF(A8="","",COUNTIFS('Evaluación escrita'!$A$6:$A$125,A8,'Evaluación escrita'!$T$6:$T$125,"Sí"))</f>
        <v/>
      </c>
      <c r="C8" s="25" t="str">
        <f>IF(A8="","",IFERROR(SUMIFS('Evaluación escrita'!$O$6:$O$125,'Evaluación escrita'!$A$6:$A$125,A8,'Evaluación escrita'!$T$6:$T$125,"Sí")/B8,""))</f>
        <v/>
      </c>
      <c r="D8" s="25" t="str">
        <f>IF(A8="","",IFERROR(SUMIFS('Evaluación escrita'!$E$6:$E$125,'Evaluación escrita'!$A$6:$A$125,A8,'Evaluación escrita'!$T$6:$T$125,"Sí")/B8,""))</f>
        <v/>
      </c>
      <c r="E8" s="25" t="str">
        <f>IF(A8="","",IFERROR(SUMIFS('Evaluación escrita'!$G$6:$G$125,'Evaluación escrita'!$A$6:$A$125,A8,'Evaluación escrita'!$T$6:$T$125,"Sí")/B8,""))</f>
        <v/>
      </c>
      <c r="F8" s="25" t="str">
        <f>IF(A8="","",IFERROR(SUMIFS('Evaluación escrita'!$I$6:$I$125,'Evaluación escrita'!$A$6:$A$125,A8,'Evaluación escrita'!$T$6:$T$125,"Sí")/B8,""))</f>
        <v/>
      </c>
      <c r="G8" s="25" t="str">
        <f>IF(A8="","",IFERROR(SUMIFS('Evaluación escrita'!$K$6:$K$125,'Evaluación escrita'!$A$6:$A$125,A8,'Evaluación escrita'!$T$6:$T$125,"Sí")/B8,""))</f>
        <v/>
      </c>
      <c r="H8" s="25" t="str">
        <f>IF(A8="","",IFERROR(SUMIFS('Evaluación escrita'!$M$6:$M$125,'Evaluación escrita'!$A$6:$A$125,A8,'Evaluación escrita'!$T$6:$T$125,"Sí")/B8,""))</f>
        <v/>
      </c>
      <c r="I8" s="13" t="str">
        <f>IF(A8="","",IF(B8&gt;=Instrucciones!$B26,"Sí","Pendiente"))</f>
        <v/>
      </c>
      <c r="J8" s="13" t="str">
        <f t="shared" si="0"/>
        <v/>
      </c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7"/>
      <c r="B9" s="13" t="str">
        <f>IF(A9="","",COUNTIFS('Evaluación escrita'!$A$6:$A$125,A9,'Evaluación escrita'!$T$6:$T$125,"Sí"))</f>
        <v/>
      </c>
      <c r="C9" s="25" t="str">
        <f>IF(A9="","",IFERROR(SUMIFS('Evaluación escrita'!$O$6:$O$125,'Evaluación escrita'!$A$6:$A$125,A9,'Evaluación escrita'!$T$6:$T$125,"Sí")/B9,""))</f>
        <v/>
      </c>
      <c r="D9" s="25" t="str">
        <f>IF(A9="","",IFERROR(SUMIFS('Evaluación escrita'!$E$6:$E$125,'Evaluación escrita'!$A$6:$A$125,A9,'Evaluación escrita'!$T$6:$T$125,"Sí")/B9,""))</f>
        <v/>
      </c>
      <c r="E9" s="25" t="str">
        <f>IF(A9="","",IFERROR(SUMIFS('Evaluación escrita'!$G$6:$G$125,'Evaluación escrita'!$A$6:$A$125,A9,'Evaluación escrita'!$T$6:$T$125,"Sí")/B9,""))</f>
        <v/>
      </c>
      <c r="F9" s="25" t="str">
        <f>IF(A9="","",IFERROR(SUMIFS('Evaluación escrita'!$I$6:$I$125,'Evaluación escrita'!$A$6:$A$125,A9,'Evaluación escrita'!$T$6:$T$125,"Sí")/B9,""))</f>
        <v/>
      </c>
      <c r="G9" s="25" t="str">
        <f>IF(A9="","",IFERROR(SUMIFS('Evaluación escrita'!$K$6:$K$125,'Evaluación escrita'!$A$6:$A$125,A9,'Evaluación escrita'!$T$6:$T$125,"Sí")/B9,""))</f>
        <v/>
      </c>
      <c r="H9" s="25" t="str">
        <f>IF(A9="","",IFERROR(SUMIFS('Evaluación escrita'!$M$6:$M$125,'Evaluación escrita'!$A$6:$A$125,A9,'Evaluación escrita'!$T$6:$T$125,"Sí")/B9,""))</f>
        <v/>
      </c>
      <c r="I9" s="13" t="str">
        <f>IF(A9="","",IF(B9&gt;=Instrucciones!$B27,"Sí","Pendiente"))</f>
        <v/>
      </c>
      <c r="J9" s="13" t="str">
        <f t="shared" si="0"/>
        <v/>
      </c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7"/>
      <c r="B10" s="13" t="str">
        <f>IF(A10="","",COUNTIFS('Evaluación escrita'!$A$6:$A$125,A10,'Evaluación escrita'!$T$6:$T$125,"Sí"))</f>
        <v/>
      </c>
      <c r="C10" s="25" t="str">
        <f>IF(A10="","",IFERROR(SUMIFS('Evaluación escrita'!$O$6:$O$125,'Evaluación escrita'!$A$6:$A$125,A10,'Evaluación escrita'!$T$6:$T$125,"Sí")/B10,""))</f>
        <v/>
      </c>
      <c r="D10" s="25" t="str">
        <f>IF(A10="","",IFERROR(SUMIFS('Evaluación escrita'!$E$6:$E$125,'Evaluación escrita'!$A$6:$A$125,A10,'Evaluación escrita'!$T$6:$T$125,"Sí")/B10,""))</f>
        <v/>
      </c>
      <c r="E10" s="25" t="str">
        <f>IF(A10="","",IFERROR(SUMIFS('Evaluación escrita'!$G$6:$G$125,'Evaluación escrita'!$A$6:$A$125,A10,'Evaluación escrita'!$T$6:$T$125,"Sí")/B10,""))</f>
        <v/>
      </c>
      <c r="F10" s="25" t="str">
        <f>IF(A10="","",IFERROR(SUMIFS('Evaluación escrita'!$I$6:$I$125,'Evaluación escrita'!$A$6:$A$125,A10,'Evaluación escrita'!$T$6:$T$125,"Sí")/B10,""))</f>
        <v/>
      </c>
      <c r="G10" s="25" t="str">
        <f>IF(A10="","",IFERROR(SUMIFS('Evaluación escrita'!$K$6:$K$125,'Evaluación escrita'!$A$6:$A$125,A10,'Evaluación escrita'!$T$6:$T$125,"Sí")/B10,""))</f>
        <v/>
      </c>
      <c r="H10" s="25" t="str">
        <f>IF(A10="","",IFERROR(SUMIFS('Evaluación escrita'!$M$6:$M$125,'Evaluación escrita'!$A$6:$A$125,A10,'Evaluación escrita'!$T$6:$T$125,"Sí")/B10,""))</f>
        <v/>
      </c>
      <c r="I10" s="13" t="str">
        <f>IF(A10="","",IF(B10&gt;=Instrucciones!$B28,"Sí","Pendiente"))</f>
        <v/>
      </c>
      <c r="J10" s="13" t="str">
        <f t="shared" si="0"/>
        <v/>
      </c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7"/>
      <c r="B11" s="13" t="str">
        <f>IF(A11="","",COUNTIFS('Evaluación escrita'!$A$6:$A$125,A11,'Evaluación escrita'!$T$6:$T$125,"Sí"))</f>
        <v/>
      </c>
      <c r="C11" s="25" t="str">
        <f>IF(A11="","",IFERROR(SUMIFS('Evaluación escrita'!$O$6:$O$125,'Evaluación escrita'!$A$6:$A$125,A11,'Evaluación escrita'!$T$6:$T$125,"Sí")/B11,""))</f>
        <v/>
      </c>
      <c r="D11" s="25" t="str">
        <f>IF(A11="","",IFERROR(SUMIFS('Evaluación escrita'!$E$6:$E$125,'Evaluación escrita'!$A$6:$A$125,A11,'Evaluación escrita'!$T$6:$T$125,"Sí")/B11,""))</f>
        <v/>
      </c>
      <c r="E11" s="25" t="str">
        <f>IF(A11="","",IFERROR(SUMIFS('Evaluación escrita'!$G$6:$G$125,'Evaluación escrita'!$A$6:$A$125,A11,'Evaluación escrita'!$T$6:$T$125,"Sí")/B11,""))</f>
        <v/>
      </c>
      <c r="F11" s="25" t="str">
        <f>IF(A11="","",IFERROR(SUMIFS('Evaluación escrita'!$I$6:$I$125,'Evaluación escrita'!$A$6:$A$125,A11,'Evaluación escrita'!$T$6:$T$125,"Sí")/B11,""))</f>
        <v/>
      </c>
      <c r="G11" s="25" t="str">
        <f>IF(A11="","",IFERROR(SUMIFS('Evaluación escrita'!$K$6:$K$125,'Evaluación escrita'!$A$6:$A$125,A11,'Evaluación escrita'!$T$6:$T$125,"Sí")/B11,""))</f>
        <v/>
      </c>
      <c r="H11" s="25" t="str">
        <f>IF(A11="","",IFERROR(SUMIFS('Evaluación escrita'!$M$6:$M$125,'Evaluación escrita'!$A$6:$A$125,A11,'Evaluación escrita'!$T$6:$T$125,"Sí")/B11,""))</f>
        <v/>
      </c>
      <c r="I11" s="13" t="str">
        <f>IF(A11="","",IF(B11&gt;=Instrucciones!$B29,"Sí","Pendiente"))</f>
        <v/>
      </c>
      <c r="J11" s="13" t="str">
        <f t="shared" si="0"/>
        <v/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7"/>
      <c r="B12" s="13" t="str">
        <f>IF(A12="","",COUNTIFS('Evaluación escrita'!$A$6:$A$125,A12,'Evaluación escrita'!$T$6:$T$125,"Sí"))</f>
        <v/>
      </c>
      <c r="C12" s="25" t="str">
        <f>IF(A12="","",IFERROR(SUMIFS('Evaluación escrita'!$O$6:$O$125,'Evaluación escrita'!$A$6:$A$125,A12,'Evaluación escrita'!$T$6:$T$125,"Sí")/B12,""))</f>
        <v/>
      </c>
      <c r="D12" s="25" t="str">
        <f>IF(A12="","",IFERROR(SUMIFS('Evaluación escrita'!$E$6:$E$125,'Evaluación escrita'!$A$6:$A$125,A12,'Evaluación escrita'!$T$6:$T$125,"Sí")/B12,""))</f>
        <v/>
      </c>
      <c r="E12" s="25" t="str">
        <f>IF(A12="","",IFERROR(SUMIFS('Evaluación escrita'!$G$6:$G$125,'Evaluación escrita'!$A$6:$A$125,A12,'Evaluación escrita'!$T$6:$T$125,"Sí")/B12,""))</f>
        <v/>
      </c>
      <c r="F12" s="25" t="str">
        <f>IF(A12="","",IFERROR(SUMIFS('Evaluación escrita'!$I$6:$I$125,'Evaluación escrita'!$A$6:$A$125,A12,'Evaluación escrita'!$T$6:$T$125,"Sí")/B12,""))</f>
        <v/>
      </c>
      <c r="G12" s="25" t="str">
        <f>IF(A12="","",IFERROR(SUMIFS('Evaluación escrita'!$K$6:$K$125,'Evaluación escrita'!$A$6:$A$125,A12,'Evaluación escrita'!$T$6:$T$125,"Sí")/B12,""))</f>
        <v/>
      </c>
      <c r="H12" s="25" t="str">
        <f>IF(A12="","",IFERROR(SUMIFS('Evaluación escrita'!$M$6:$M$125,'Evaluación escrita'!$A$6:$A$125,A12,'Evaluación escrita'!$T$6:$T$125,"Sí")/B12,""))</f>
        <v/>
      </c>
      <c r="I12" s="13" t="str">
        <f>IF(A12="","",IF(B12&gt;=Instrucciones!$B30,"Sí","Pendiente"))</f>
        <v/>
      </c>
      <c r="J12" s="13" t="str">
        <f t="shared" si="0"/>
        <v/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7"/>
      <c r="B13" s="13" t="str">
        <f>IF(A13="","",COUNTIFS('Evaluación escrita'!$A$6:$A$125,A13,'Evaluación escrita'!$T$6:$T$125,"Sí"))</f>
        <v/>
      </c>
      <c r="C13" s="25" t="str">
        <f>IF(A13="","",IFERROR(SUMIFS('Evaluación escrita'!$O$6:$O$125,'Evaluación escrita'!$A$6:$A$125,A13,'Evaluación escrita'!$T$6:$T$125,"Sí")/B13,""))</f>
        <v/>
      </c>
      <c r="D13" s="25" t="str">
        <f>IF(A13="","",IFERROR(SUMIFS('Evaluación escrita'!$E$6:$E$125,'Evaluación escrita'!$A$6:$A$125,A13,'Evaluación escrita'!$T$6:$T$125,"Sí")/B13,""))</f>
        <v/>
      </c>
      <c r="E13" s="25" t="str">
        <f>IF(A13="","",IFERROR(SUMIFS('Evaluación escrita'!$G$6:$G$125,'Evaluación escrita'!$A$6:$A$125,A13,'Evaluación escrita'!$T$6:$T$125,"Sí")/B13,""))</f>
        <v/>
      </c>
      <c r="F13" s="25" t="str">
        <f>IF(A13="","",IFERROR(SUMIFS('Evaluación escrita'!$I$6:$I$125,'Evaluación escrita'!$A$6:$A$125,A13,'Evaluación escrita'!$T$6:$T$125,"Sí")/B13,""))</f>
        <v/>
      </c>
      <c r="G13" s="25" t="str">
        <f>IF(A13="","",IFERROR(SUMIFS('Evaluación escrita'!$K$6:$K$125,'Evaluación escrita'!$A$6:$A$125,A13,'Evaluación escrita'!$T$6:$T$125,"Sí")/B13,""))</f>
        <v/>
      </c>
      <c r="H13" s="25" t="str">
        <f>IF(A13="","",IFERROR(SUMIFS('Evaluación escrita'!$M$6:$M$125,'Evaluación escrita'!$A$6:$A$125,A13,'Evaluación escrita'!$T$6:$T$125,"Sí")/B13,""))</f>
        <v/>
      </c>
      <c r="I13" s="13" t="str">
        <f>IF(A13="","",IF(B13&gt;=Instrucciones!$B31,"Sí","Pendiente"))</f>
        <v/>
      </c>
      <c r="J13" s="13" t="str">
        <f t="shared" si="0"/>
        <v/>
      </c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7"/>
      <c r="B14" s="13" t="str">
        <f>IF(A14="","",COUNTIFS('Evaluación escrita'!$A$6:$A$125,A14,'Evaluación escrita'!$T$6:$T$125,"Sí"))</f>
        <v/>
      </c>
      <c r="C14" s="25" t="str">
        <f>IF(A14="","",IFERROR(SUMIFS('Evaluación escrita'!$O$6:$O$125,'Evaluación escrita'!$A$6:$A$125,A14,'Evaluación escrita'!$T$6:$T$125,"Sí")/B14,""))</f>
        <v/>
      </c>
      <c r="D14" s="25" t="str">
        <f>IF(A14="","",IFERROR(SUMIFS('Evaluación escrita'!$E$6:$E$125,'Evaluación escrita'!$A$6:$A$125,A14,'Evaluación escrita'!$T$6:$T$125,"Sí")/B14,""))</f>
        <v/>
      </c>
      <c r="E14" s="25" t="str">
        <f>IF(A14="","",IFERROR(SUMIFS('Evaluación escrita'!$G$6:$G$125,'Evaluación escrita'!$A$6:$A$125,A14,'Evaluación escrita'!$T$6:$T$125,"Sí")/B14,""))</f>
        <v/>
      </c>
      <c r="F14" s="25" t="str">
        <f>IF(A14="","",IFERROR(SUMIFS('Evaluación escrita'!$I$6:$I$125,'Evaluación escrita'!$A$6:$A$125,A14,'Evaluación escrita'!$T$6:$T$125,"Sí")/B14,""))</f>
        <v/>
      </c>
      <c r="G14" s="25" t="str">
        <f>IF(A14="","",IFERROR(SUMIFS('Evaluación escrita'!$K$6:$K$125,'Evaluación escrita'!$A$6:$A$125,A14,'Evaluación escrita'!$T$6:$T$125,"Sí")/B14,""))</f>
        <v/>
      </c>
      <c r="H14" s="25" t="str">
        <f>IF(A14="","",IFERROR(SUMIFS('Evaluación escrita'!$M$6:$M$125,'Evaluación escrita'!$A$6:$A$125,A14,'Evaluación escrita'!$T$6:$T$125,"Sí")/B14,""))</f>
        <v/>
      </c>
      <c r="I14" s="13" t="str">
        <f>IF(A14="","",IF(B14&gt;=Instrucciones!$B32,"Sí","Pendiente"))</f>
        <v/>
      </c>
      <c r="J14" s="13" t="str">
        <f t="shared" si="0"/>
        <v/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7"/>
      <c r="B15" s="13" t="str">
        <f>IF(A15="","",COUNTIFS('Evaluación escrita'!$A$6:$A$125,A15,'Evaluación escrita'!$T$6:$T$125,"Sí"))</f>
        <v/>
      </c>
      <c r="C15" s="25" t="str">
        <f>IF(A15="","",IFERROR(SUMIFS('Evaluación escrita'!$O$6:$O$125,'Evaluación escrita'!$A$6:$A$125,A15,'Evaluación escrita'!$T$6:$T$125,"Sí")/B15,""))</f>
        <v/>
      </c>
      <c r="D15" s="25" t="str">
        <f>IF(A15="","",IFERROR(SUMIFS('Evaluación escrita'!$E$6:$E$125,'Evaluación escrita'!$A$6:$A$125,A15,'Evaluación escrita'!$T$6:$T$125,"Sí")/B15,""))</f>
        <v/>
      </c>
      <c r="E15" s="25" t="str">
        <f>IF(A15="","",IFERROR(SUMIFS('Evaluación escrita'!$G$6:$G$125,'Evaluación escrita'!$A$6:$A$125,A15,'Evaluación escrita'!$T$6:$T$125,"Sí")/B15,""))</f>
        <v/>
      </c>
      <c r="F15" s="25" t="str">
        <f>IF(A15="","",IFERROR(SUMIFS('Evaluación escrita'!$I$6:$I$125,'Evaluación escrita'!$A$6:$A$125,A15,'Evaluación escrita'!$T$6:$T$125,"Sí")/B15,""))</f>
        <v/>
      </c>
      <c r="G15" s="25" t="str">
        <f>IF(A15="","",IFERROR(SUMIFS('Evaluación escrita'!$K$6:$K$125,'Evaluación escrita'!$A$6:$A$125,A15,'Evaluación escrita'!$T$6:$T$125,"Sí")/B15,""))</f>
        <v/>
      </c>
      <c r="H15" s="25" t="str">
        <f>IF(A15="","",IFERROR(SUMIFS('Evaluación escrita'!$M$6:$M$125,'Evaluación escrita'!$A$6:$A$125,A15,'Evaluación escrita'!$T$6:$T$125,"Sí")/B15,""))</f>
        <v/>
      </c>
      <c r="I15" s="13" t="str">
        <f>IF(A15="","",IF(B15&gt;=Instrucciones!$B33,"Sí","Pendiente"))</f>
        <v/>
      </c>
      <c r="J15" s="13" t="str">
        <f t="shared" si="0"/>
        <v/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7"/>
      <c r="B16" s="13" t="str">
        <f>IF(A16="","",COUNTIFS('Evaluación escrita'!$A$6:$A$125,A16,'Evaluación escrita'!$T$6:$T$125,"Sí"))</f>
        <v/>
      </c>
      <c r="C16" s="25" t="str">
        <f>IF(A16="","",IFERROR(SUMIFS('Evaluación escrita'!$O$6:$O$125,'Evaluación escrita'!$A$6:$A$125,A16,'Evaluación escrita'!$T$6:$T$125,"Sí")/B16,""))</f>
        <v/>
      </c>
      <c r="D16" s="25" t="str">
        <f>IF(A16="","",IFERROR(SUMIFS('Evaluación escrita'!$E$6:$E$125,'Evaluación escrita'!$A$6:$A$125,A16,'Evaluación escrita'!$T$6:$T$125,"Sí")/B16,""))</f>
        <v/>
      </c>
      <c r="E16" s="25" t="str">
        <f>IF(A16="","",IFERROR(SUMIFS('Evaluación escrita'!$G$6:$G$125,'Evaluación escrita'!$A$6:$A$125,A16,'Evaluación escrita'!$T$6:$T$125,"Sí")/B16,""))</f>
        <v/>
      </c>
      <c r="F16" s="25" t="str">
        <f>IF(A16="","",IFERROR(SUMIFS('Evaluación escrita'!$I$6:$I$125,'Evaluación escrita'!$A$6:$A$125,A16,'Evaluación escrita'!$T$6:$T$125,"Sí")/B16,""))</f>
        <v/>
      </c>
      <c r="G16" s="25" t="str">
        <f>IF(A16="","",IFERROR(SUMIFS('Evaluación escrita'!$K$6:$K$125,'Evaluación escrita'!$A$6:$A$125,A16,'Evaluación escrita'!$T$6:$T$125,"Sí")/B16,""))</f>
        <v/>
      </c>
      <c r="H16" s="25" t="str">
        <f>IF(A16="","",IFERROR(SUMIFS('Evaluación escrita'!$M$6:$M$125,'Evaluación escrita'!$A$6:$A$125,A16,'Evaluación escrita'!$T$6:$T$125,"Sí")/B16,""))</f>
        <v/>
      </c>
      <c r="I16" s="13" t="str">
        <f>IF(A16="","",IF(B16&gt;=Instrucciones!$B34,"Sí","Pendiente"))</f>
        <v/>
      </c>
      <c r="J16" s="13" t="str">
        <f t="shared" si="0"/>
        <v/>
      </c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7"/>
      <c r="B17" s="13" t="str">
        <f>IF(A17="","",COUNTIFS('Evaluación escrita'!$A$6:$A$125,A17,'Evaluación escrita'!$T$6:$T$125,"Sí"))</f>
        <v/>
      </c>
      <c r="C17" s="25" t="str">
        <f>IF(A17="","",IFERROR(SUMIFS('Evaluación escrita'!$O$6:$O$125,'Evaluación escrita'!$A$6:$A$125,A17,'Evaluación escrita'!$T$6:$T$125,"Sí")/B17,""))</f>
        <v/>
      </c>
      <c r="D17" s="25" t="str">
        <f>IF(A17="","",IFERROR(SUMIFS('Evaluación escrita'!$E$6:$E$125,'Evaluación escrita'!$A$6:$A$125,A17,'Evaluación escrita'!$T$6:$T$125,"Sí")/B17,""))</f>
        <v/>
      </c>
      <c r="E17" s="25" t="str">
        <f>IF(A17="","",IFERROR(SUMIFS('Evaluación escrita'!$G$6:$G$125,'Evaluación escrita'!$A$6:$A$125,A17,'Evaluación escrita'!$T$6:$T$125,"Sí")/B17,""))</f>
        <v/>
      </c>
      <c r="F17" s="25" t="str">
        <f>IF(A17="","",IFERROR(SUMIFS('Evaluación escrita'!$I$6:$I$125,'Evaluación escrita'!$A$6:$A$125,A17,'Evaluación escrita'!$T$6:$T$125,"Sí")/B17,""))</f>
        <v/>
      </c>
      <c r="G17" s="25" t="str">
        <f>IF(A17="","",IFERROR(SUMIFS('Evaluación escrita'!$K$6:$K$125,'Evaluación escrita'!$A$6:$A$125,A17,'Evaluación escrita'!$T$6:$T$125,"Sí")/B17,""))</f>
        <v/>
      </c>
      <c r="H17" s="25" t="str">
        <f>IF(A17="","",IFERROR(SUMIFS('Evaluación escrita'!$M$6:$M$125,'Evaluación escrita'!$A$6:$A$125,A17,'Evaluación escrita'!$T$6:$T$125,"Sí")/B17,""))</f>
        <v/>
      </c>
      <c r="I17" s="13" t="str">
        <f>IF(A17="","",IF(B17&gt;=Instrucciones!$B35,"Sí","Pendiente"))</f>
        <v/>
      </c>
      <c r="J17" s="13" t="str">
        <f t="shared" si="0"/>
        <v/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7"/>
      <c r="B18" s="13" t="str">
        <f>IF(A18="","",COUNTIFS('Evaluación escrita'!$A$6:$A$125,A18,'Evaluación escrita'!$T$6:$T$125,"Sí"))</f>
        <v/>
      </c>
      <c r="C18" s="25" t="str">
        <f>IF(A18="","",IFERROR(SUMIFS('Evaluación escrita'!$O$6:$O$125,'Evaluación escrita'!$A$6:$A$125,A18,'Evaluación escrita'!$T$6:$T$125,"Sí")/B18,""))</f>
        <v/>
      </c>
      <c r="D18" s="25" t="str">
        <f>IF(A18="","",IFERROR(SUMIFS('Evaluación escrita'!$E$6:$E$125,'Evaluación escrita'!$A$6:$A$125,A18,'Evaluación escrita'!$T$6:$T$125,"Sí")/B18,""))</f>
        <v/>
      </c>
      <c r="E18" s="25" t="str">
        <f>IF(A18="","",IFERROR(SUMIFS('Evaluación escrita'!$G$6:$G$125,'Evaluación escrita'!$A$6:$A$125,A18,'Evaluación escrita'!$T$6:$T$125,"Sí")/B18,""))</f>
        <v/>
      </c>
      <c r="F18" s="25" t="str">
        <f>IF(A18="","",IFERROR(SUMIFS('Evaluación escrita'!$I$6:$I$125,'Evaluación escrita'!$A$6:$A$125,A18,'Evaluación escrita'!$T$6:$T$125,"Sí")/B18,""))</f>
        <v/>
      </c>
      <c r="G18" s="25" t="str">
        <f>IF(A18="","",IFERROR(SUMIFS('Evaluación escrita'!$K$6:$K$125,'Evaluación escrita'!$A$6:$A$125,A18,'Evaluación escrita'!$T$6:$T$125,"Sí")/B18,""))</f>
        <v/>
      </c>
      <c r="H18" s="25" t="str">
        <f>IF(A18="","",IFERROR(SUMIFS('Evaluación escrita'!$M$6:$M$125,'Evaluación escrita'!$A$6:$A$125,A18,'Evaluación escrita'!$T$6:$T$125,"Sí")/B18,""))</f>
        <v/>
      </c>
      <c r="I18" s="13" t="str">
        <f>IF(A18="","",IF(B18&gt;=Instrucciones!$B36,"Sí","Pendiente"))</f>
        <v/>
      </c>
      <c r="J18" s="13" t="str">
        <f t="shared" si="0"/>
        <v/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7"/>
      <c r="B19" s="13" t="str">
        <f>IF(A19="","",COUNTIFS('Evaluación escrita'!$A$6:$A$125,A19,'Evaluación escrita'!$T$6:$T$125,"Sí"))</f>
        <v/>
      </c>
      <c r="C19" s="25" t="str">
        <f>IF(A19="","",IFERROR(SUMIFS('Evaluación escrita'!$O$6:$O$125,'Evaluación escrita'!$A$6:$A$125,A19,'Evaluación escrita'!$T$6:$T$125,"Sí")/B19,""))</f>
        <v/>
      </c>
      <c r="D19" s="25" t="str">
        <f>IF(A19="","",IFERROR(SUMIFS('Evaluación escrita'!$E$6:$E$125,'Evaluación escrita'!$A$6:$A$125,A19,'Evaluación escrita'!$T$6:$T$125,"Sí")/B19,""))</f>
        <v/>
      </c>
      <c r="E19" s="25" t="str">
        <f>IF(A19="","",IFERROR(SUMIFS('Evaluación escrita'!$G$6:$G$125,'Evaluación escrita'!$A$6:$A$125,A19,'Evaluación escrita'!$T$6:$T$125,"Sí")/B19,""))</f>
        <v/>
      </c>
      <c r="F19" s="25" t="str">
        <f>IF(A19="","",IFERROR(SUMIFS('Evaluación escrita'!$I$6:$I$125,'Evaluación escrita'!$A$6:$A$125,A19,'Evaluación escrita'!$T$6:$T$125,"Sí")/B19,""))</f>
        <v/>
      </c>
      <c r="G19" s="25" t="str">
        <f>IF(A19="","",IFERROR(SUMIFS('Evaluación escrita'!$K$6:$K$125,'Evaluación escrita'!$A$6:$A$125,A19,'Evaluación escrita'!$T$6:$T$125,"Sí")/B19,""))</f>
        <v/>
      </c>
      <c r="H19" s="25" t="str">
        <f>IF(A19="","",IFERROR(SUMIFS('Evaluación escrita'!$M$6:$M$125,'Evaluación escrita'!$A$6:$A$125,A19,'Evaluación escrita'!$T$6:$T$125,"Sí")/B19,""))</f>
        <v/>
      </c>
      <c r="I19" s="13" t="str">
        <f>IF(A19="","",IF(B19&gt;=Instrucciones!$B37,"Sí","Pendiente"))</f>
        <v/>
      </c>
      <c r="J19" s="13" t="str">
        <f t="shared" si="0"/>
        <v/>
      </c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7"/>
      <c r="B20" s="13" t="str">
        <f>IF(A20="","",COUNTIFS('Evaluación escrita'!$A$6:$A$125,A20,'Evaluación escrita'!$T$6:$T$125,"Sí"))</f>
        <v/>
      </c>
      <c r="C20" s="25" t="str">
        <f>IF(A20="","",IFERROR(SUMIFS('Evaluación escrita'!$O$6:$O$125,'Evaluación escrita'!$A$6:$A$125,A20,'Evaluación escrita'!$T$6:$T$125,"Sí")/B20,""))</f>
        <v/>
      </c>
      <c r="D20" s="25" t="str">
        <f>IF(A20="","",IFERROR(SUMIFS('Evaluación escrita'!$E$6:$E$125,'Evaluación escrita'!$A$6:$A$125,A20,'Evaluación escrita'!$T$6:$T$125,"Sí")/B20,""))</f>
        <v/>
      </c>
      <c r="E20" s="25" t="str">
        <f>IF(A20="","",IFERROR(SUMIFS('Evaluación escrita'!$G$6:$G$125,'Evaluación escrita'!$A$6:$A$125,A20,'Evaluación escrita'!$T$6:$T$125,"Sí")/B20,""))</f>
        <v/>
      </c>
      <c r="F20" s="25" t="str">
        <f>IF(A20="","",IFERROR(SUMIFS('Evaluación escrita'!$I$6:$I$125,'Evaluación escrita'!$A$6:$A$125,A20,'Evaluación escrita'!$T$6:$T$125,"Sí")/B20,""))</f>
        <v/>
      </c>
      <c r="G20" s="25" t="str">
        <f>IF(A20="","",IFERROR(SUMIFS('Evaluación escrita'!$K$6:$K$125,'Evaluación escrita'!$A$6:$A$125,A20,'Evaluación escrita'!$T$6:$T$125,"Sí")/B20,""))</f>
        <v/>
      </c>
      <c r="H20" s="25" t="str">
        <f>IF(A20="","",IFERROR(SUMIFS('Evaluación escrita'!$M$6:$M$125,'Evaluación escrita'!$A$6:$A$125,A20,'Evaluación escrita'!$T$6:$T$125,"Sí")/B20,""))</f>
        <v/>
      </c>
      <c r="I20" s="13" t="str">
        <f>IF(A20="","",IF(B20&gt;=Instrucciones!$B38,"Sí","Pendiente"))</f>
        <v/>
      </c>
      <c r="J20" s="13" t="str">
        <f t="shared" si="0"/>
        <v/>
      </c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7"/>
      <c r="B21" s="13" t="str">
        <f>IF(A21="","",COUNTIFS('Evaluación escrita'!$A$6:$A$125,A21,'Evaluación escrita'!$T$6:$T$125,"Sí"))</f>
        <v/>
      </c>
      <c r="C21" s="25" t="str">
        <f>IF(A21="","",IFERROR(SUMIFS('Evaluación escrita'!$O$6:$O$125,'Evaluación escrita'!$A$6:$A$125,A21,'Evaluación escrita'!$T$6:$T$125,"Sí")/B21,""))</f>
        <v/>
      </c>
      <c r="D21" s="25" t="str">
        <f>IF(A21="","",IFERROR(SUMIFS('Evaluación escrita'!$E$6:$E$125,'Evaluación escrita'!$A$6:$A$125,A21,'Evaluación escrita'!$T$6:$T$125,"Sí")/B21,""))</f>
        <v/>
      </c>
      <c r="E21" s="25" t="str">
        <f>IF(A21="","",IFERROR(SUMIFS('Evaluación escrita'!$G$6:$G$125,'Evaluación escrita'!$A$6:$A$125,A21,'Evaluación escrita'!$T$6:$T$125,"Sí")/B21,""))</f>
        <v/>
      </c>
      <c r="F21" s="25" t="str">
        <f>IF(A21="","",IFERROR(SUMIFS('Evaluación escrita'!$I$6:$I$125,'Evaluación escrita'!$A$6:$A$125,A21,'Evaluación escrita'!$T$6:$T$125,"Sí")/B21,""))</f>
        <v/>
      </c>
      <c r="G21" s="25" t="str">
        <f>IF(A21="","",IFERROR(SUMIFS('Evaluación escrita'!$K$6:$K$125,'Evaluación escrita'!$A$6:$A$125,A21,'Evaluación escrita'!$T$6:$T$125,"Sí")/B21,""))</f>
        <v/>
      </c>
      <c r="H21" s="25" t="str">
        <f>IF(A21="","",IFERROR(SUMIFS('Evaluación escrita'!$M$6:$M$125,'Evaluación escrita'!$A$6:$A$125,A21,'Evaluación escrita'!$T$6:$T$125,"Sí")/B21,""))</f>
        <v/>
      </c>
      <c r="I21" s="13" t="str">
        <f>IF(A21="","",IF(B21&gt;=Instrucciones!$B39,"Sí","Pendiente"))</f>
        <v/>
      </c>
      <c r="J21" s="13" t="str">
        <f t="shared" si="0"/>
        <v/>
      </c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7"/>
      <c r="B22" s="13" t="str">
        <f>IF(A22="","",COUNTIFS('Evaluación escrita'!$A$6:$A$125,A22,'Evaluación escrita'!$T$6:$T$125,"Sí"))</f>
        <v/>
      </c>
      <c r="C22" s="25" t="str">
        <f>IF(A22="","",IFERROR(SUMIFS('Evaluación escrita'!$O$6:$O$125,'Evaluación escrita'!$A$6:$A$125,A22,'Evaluación escrita'!$T$6:$T$125,"Sí")/B22,""))</f>
        <v/>
      </c>
      <c r="D22" s="25" t="str">
        <f>IF(A22="","",IFERROR(SUMIFS('Evaluación escrita'!$E$6:$E$125,'Evaluación escrita'!$A$6:$A$125,A22,'Evaluación escrita'!$T$6:$T$125,"Sí")/B22,""))</f>
        <v/>
      </c>
      <c r="E22" s="25" t="str">
        <f>IF(A22="","",IFERROR(SUMIFS('Evaluación escrita'!$G$6:$G$125,'Evaluación escrita'!$A$6:$A$125,A22,'Evaluación escrita'!$T$6:$T$125,"Sí")/B22,""))</f>
        <v/>
      </c>
      <c r="F22" s="25" t="str">
        <f>IF(A22="","",IFERROR(SUMIFS('Evaluación escrita'!$I$6:$I$125,'Evaluación escrita'!$A$6:$A$125,A22,'Evaluación escrita'!$T$6:$T$125,"Sí")/B22,""))</f>
        <v/>
      </c>
      <c r="G22" s="25" t="str">
        <f>IF(A22="","",IFERROR(SUMIFS('Evaluación escrita'!$K$6:$K$125,'Evaluación escrita'!$A$6:$A$125,A22,'Evaluación escrita'!$T$6:$T$125,"Sí")/B22,""))</f>
        <v/>
      </c>
      <c r="H22" s="25" t="str">
        <f>IF(A22="","",IFERROR(SUMIFS('Evaluación escrita'!$M$6:$M$125,'Evaluación escrita'!$A$6:$A$125,A22,'Evaluación escrita'!$T$6:$T$125,"Sí")/B22,""))</f>
        <v/>
      </c>
      <c r="I22" s="13" t="str">
        <f>IF(A22="","",IF(B22&gt;=Instrucciones!$B40,"Sí","Pendiente"))</f>
        <v/>
      </c>
      <c r="J22" s="13" t="str">
        <f t="shared" si="0"/>
        <v/>
      </c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7"/>
      <c r="B23" s="13" t="str">
        <f>IF(A23="","",COUNTIFS('Evaluación escrita'!$A$6:$A$125,A23,'Evaluación escrita'!$T$6:$T$125,"Sí"))</f>
        <v/>
      </c>
      <c r="C23" s="25" t="str">
        <f>IF(A23="","",IFERROR(SUMIFS('Evaluación escrita'!$O$6:$O$125,'Evaluación escrita'!$A$6:$A$125,A23,'Evaluación escrita'!$T$6:$T$125,"Sí")/B23,""))</f>
        <v/>
      </c>
      <c r="D23" s="25" t="str">
        <f>IF(A23="","",IFERROR(SUMIFS('Evaluación escrita'!$E$6:$E$125,'Evaluación escrita'!$A$6:$A$125,A23,'Evaluación escrita'!$T$6:$T$125,"Sí")/B23,""))</f>
        <v/>
      </c>
      <c r="E23" s="25" t="str">
        <f>IF(A23="","",IFERROR(SUMIFS('Evaluación escrita'!$G$6:$G$125,'Evaluación escrita'!$A$6:$A$125,A23,'Evaluación escrita'!$T$6:$T$125,"Sí")/B23,""))</f>
        <v/>
      </c>
      <c r="F23" s="25" t="str">
        <f>IF(A23="","",IFERROR(SUMIFS('Evaluación escrita'!$I$6:$I$125,'Evaluación escrita'!$A$6:$A$125,A23,'Evaluación escrita'!$T$6:$T$125,"Sí")/B23,""))</f>
        <v/>
      </c>
      <c r="G23" s="25" t="str">
        <f>IF(A23="","",IFERROR(SUMIFS('Evaluación escrita'!$K$6:$K$125,'Evaluación escrita'!$A$6:$A$125,A23,'Evaluación escrita'!$T$6:$T$125,"Sí")/B23,""))</f>
        <v/>
      </c>
      <c r="H23" s="25" t="str">
        <f>IF(A23="","",IFERROR(SUMIFS('Evaluación escrita'!$M$6:$M$125,'Evaluación escrita'!$A$6:$A$125,A23,'Evaluación escrita'!$T$6:$T$125,"Sí")/B23,""))</f>
        <v/>
      </c>
      <c r="I23" s="13" t="str">
        <f>IF(A23="","",IF(B23&gt;=Instrucciones!$B41,"Sí","Pendiente"))</f>
        <v/>
      </c>
      <c r="J23" s="13" t="str">
        <f t="shared" si="0"/>
        <v/>
      </c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7"/>
      <c r="B24" s="13" t="str">
        <f>IF(A24="","",COUNTIFS('Evaluación escrita'!$A$6:$A$125,A24,'Evaluación escrita'!$T$6:$T$125,"Sí"))</f>
        <v/>
      </c>
      <c r="C24" s="25" t="str">
        <f>IF(A24="","",IFERROR(SUMIFS('Evaluación escrita'!$O$6:$O$125,'Evaluación escrita'!$A$6:$A$125,A24,'Evaluación escrita'!$T$6:$T$125,"Sí")/B24,""))</f>
        <v/>
      </c>
      <c r="D24" s="25" t="str">
        <f>IF(A24="","",IFERROR(SUMIFS('Evaluación escrita'!$E$6:$E$125,'Evaluación escrita'!$A$6:$A$125,A24,'Evaluación escrita'!$T$6:$T$125,"Sí")/B24,""))</f>
        <v/>
      </c>
      <c r="E24" s="25" t="str">
        <f>IF(A24="","",IFERROR(SUMIFS('Evaluación escrita'!$G$6:$G$125,'Evaluación escrita'!$A$6:$A$125,A24,'Evaluación escrita'!$T$6:$T$125,"Sí")/B24,""))</f>
        <v/>
      </c>
      <c r="F24" s="25" t="str">
        <f>IF(A24="","",IFERROR(SUMIFS('Evaluación escrita'!$I$6:$I$125,'Evaluación escrita'!$A$6:$A$125,A24,'Evaluación escrita'!$T$6:$T$125,"Sí")/B24,""))</f>
        <v/>
      </c>
      <c r="G24" s="25" t="str">
        <f>IF(A24="","",IFERROR(SUMIFS('Evaluación escrita'!$K$6:$K$125,'Evaluación escrita'!$A$6:$A$125,A24,'Evaluación escrita'!$T$6:$T$125,"Sí")/B24,""))</f>
        <v/>
      </c>
      <c r="H24" s="25" t="str">
        <f>IF(A24="","",IFERROR(SUMIFS('Evaluación escrita'!$M$6:$M$125,'Evaluación escrita'!$A$6:$A$125,A24,'Evaluación escrita'!$T$6:$T$125,"Sí")/B24,""))</f>
        <v/>
      </c>
      <c r="I24" s="13" t="str">
        <f>IF(A24="","",IF(B24&gt;=Instrucciones!$B42,"Sí","Pendiente"))</f>
        <v/>
      </c>
      <c r="J24" s="13" t="str">
        <f t="shared" si="0"/>
        <v/>
      </c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7"/>
      <c r="B25" s="13" t="str">
        <f>IF(A25="","",COUNTIFS('Evaluación escrita'!$A$6:$A$125,A25,'Evaluación escrita'!$T$6:$T$125,"Sí"))</f>
        <v/>
      </c>
      <c r="C25" s="25" t="str">
        <f>IF(A25="","",IFERROR(SUMIFS('Evaluación escrita'!$O$6:$O$125,'Evaluación escrita'!$A$6:$A$125,A25,'Evaluación escrita'!$T$6:$T$125,"Sí")/B25,""))</f>
        <v/>
      </c>
      <c r="D25" s="25" t="str">
        <f>IF(A25="","",IFERROR(SUMIFS('Evaluación escrita'!$E$6:$E$125,'Evaluación escrita'!$A$6:$A$125,A25,'Evaluación escrita'!$T$6:$T$125,"Sí")/B25,""))</f>
        <v/>
      </c>
      <c r="E25" s="25" t="str">
        <f>IF(A25="","",IFERROR(SUMIFS('Evaluación escrita'!$G$6:$G$125,'Evaluación escrita'!$A$6:$A$125,A25,'Evaluación escrita'!$T$6:$T$125,"Sí")/B25,""))</f>
        <v/>
      </c>
      <c r="F25" s="25" t="str">
        <f>IF(A25="","",IFERROR(SUMIFS('Evaluación escrita'!$I$6:$I$125,'Evaluación escrita'!$A$6:$A$125,A25,'Evaluación escrita'!$T$6:$T$125,"Sí")/B25,""))</f>
        <v/>
      </c>
      <c r="G25" s="25" t="str">
        <f>IF(A25="","",IFERROR(SUMIFS('Evaluación escrita'!$K$6:$K$125,'Evaluación escrita'!$A$6:$A$125,A25,'Evaluación escrita'!$T$6:$T$125,"Sí")/B25,""))</f>
        <v/>
      </c>
      <c r="H25" s="25" t="str">
        <f>IF(A25="","",IFERROR(SUMIFS('Evaluación escrita'!$M$6:$M$125,'Evaluación escrita'!$A$6:$A$125,A25,'Evaluación escrita'!$T$6:$T$125,"Sí")/B25,""))</f>
        <v/>
      </c>
      <c r="I25" s="13" t="str">
        <f>IF(A25="","",IF(B25&gt;=Instrucciones!$B43,"Sí","Pendiente"))</f>
        <v/>
      </c>
      <c r="J25" s="13" t="str">
        <f t="shared" si="0"/>
        <v/>
      </c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7"/>
      <c r="B26" s="13" t="str">
        <f>IF(A26="","",COUNTIFS('Evaluación escrita'!$A$6:$A$125,A26,'Evaluación escrita'!$T$6:$T$125,"Sí"))</f>
        <v/>
      </c>
      <c r="C26" s="25" t="str">
        <f>IF(A26="","",IFERROR(SUMIFS('Evaluación escrita'!$O$6:$O$125,'Evaluación escrita'!$A$6:$A$125,A26,'Evaluación escrita'!$T$6:$T$125,"Sí")/B26,""))</f>
        <v/>
      </c>
      <c r="D26" s="25" t="str">
        <f>IF(A26="","",IFERROR(SUMIFS('Evaluación escrita'!$E$6:$E$125,'Evaluación escrita'!$A$6:$A$125,A26,'Evaluación escrita'!$T$6:$T$125,"Sí")/B26,""))</f>
        <v/>
      </c>
      <c r="E26" s="25" t="str">
        <f>IF(A26="","",IFERROR(SUMIFS('Evaluación escrita'!$G$6:$G$125,'Evaluación escrita'!$A$6:$A$125,A26,'Evaluación escrita'!$T$6:$T$125,"Sí")/B26,""))</f>
        <v/>
      </c>
      <c r="F26" s="25" t="str">
        <f>IF(A26="","",IFERROR(SUMIFS('Evaluación escrita'!$I$6:$I$125,'Evaluación escrita'!$A$6:$A$125,A26,'Evaluación escrita'!$T$6:$T$125,"Sí")/B26,""))</f>
        <v/>
      </c>
      <c r="G26" s="25" t="str">
        <f>IF(A26="","",IFERROR(SUMIFS('Evaluación escrita'!$K$6:$K$125,'Evaluación escrita'!$A$6:$A$125,A26,'Evaluación escrita'!$T$6:$T$125,"Sí")/B26,""))</f>
        <v/>
      </c>
      <c r="H26" s="25" t="str">
        <f>IF(A26="","",IFERROR(SUMIFS('Evaluación escrita'!$M$6:$M$125,'Evaluación escrita'!$A$6:$A$125,A26,'Evaluación escrita'!$T$6:$T$125,"Sí")/B26,""))</f>
        <v/>
      </c>
      <c r="I26" s="13" t="str">
        <f>IF(A26="","",IF(B26&gt;=Instrucciones!$B44,"Sí","Pendiente"))</f>
        <v/>
      </c>
      <c r="J26" s="13" t="str">
        <f t="shared" si="0"/>
        <v/>
      </c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7"/>
      <c r="B27" s="13" t="str">
        <f>IF(A27="","",COUNTIFS('Evaluación escrita'!$A$6:$A$125,A27,'Evaluación escrita'!$T$6:$T$125,"Sí"))</f>
        <v/>
      </c>
      <c r="C27" s="25" t="str">
        <f>IF(A27="","",IFERROR(SUMIFS('Evaluación escrita'!$O$6:$O$125,'Evaluación escrita'!$A$6:$A$125,A27,'Evaluación escrita'!$T$6:$T$125,"Sí")/B27,""))</f>
        <v/>
      </c>
      <c r="D27" s="25" t="str">
        <f>IF(A27="","",IFERROR(SUMIFS('Evaluación escrita'!$E$6:$E$125,'Evaluación escrita'!$A$6:$A$125,A27,'Evaluación escrita'!$T$6:$T$125,"Sí")/B27,""))</f>
        <v/>
      </c>
      <c r="E27" s="25" t="str">
        <f>IF(A27="","",IFERROR(SUMIFS('Evaluación escrita'!$G$6:$G$125,'Evaluación escrita'!$A$6:$A$125,A27,'Evaluación escrita'!$T$6:$T$125,"Sí")/B27,""))</f>
        <v/>
      </c>
      <c r="F27" s="25" t="str">
        <f>IF(A27="","",IFERROR(SUMIFS('Evaluación escrita'!$I$6:$I$125,'Evaluación escrita'!$A$6:$A$125,A27,'Evaluación escrita'!$T$6:$T$125,"Sí")/B27,""))</f>
        <v/>
      </c>
      <c r="G27" s="25" t="str">
        <f>IF(A27="","",IFERROR(SUMIFS('Evaluación escrita'!$K$6:$K$125,'Evaluación escrita'!$A$6:$A$125,A27,'Evaluación escrita'!$T$6:$T$125,"Sí")/B27,""))</f>
        <v/>
      </c>
      <c r="H27" s="25" t="str">
        <f>IF(A27="","",IFERROR(SUMIFS('Evaluación escrita'!$M$6:$M$125,'Evaluación escrita'!$A$6:$A$125,A27,'Evaluación escrita'!$T$6:$T$125,"Sí")/B27,""))</f>
        <v/>
      </c>
      <c r="I27" s="13" t="str">
        <f>IF(A27="","",IF(B27&gt;=Instrucciones!$B45,"Sí","Pendiente"))</f>
        <v/>
      </c>
      <c r="J27" s="13" t="str">
        <f t="shared" si="0"/>
        <v/>
      </c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7"/>
      <c r="B28" s="13" t="str">
        <f>IF(A28="","",COUNTIFS('Evaluación escrita'!$A$6:$A$125,A28,'Evaluación escrita'!$T$6:$T$125,"Sí"))</f>
        <v/>
      </c>
      <c r="C28" s="25" t="str">
        <f>IF(A28="","",IFERROR(SUMIFS('Evaluación escrita'!$O$6:$O$125,'Evaluación escrita'!$A$6:$A$125,A28,'Evaluación escrita'!$T$6:$T$125,"Sí")/B28,""))</f>
        <v/>
      </c>
      <c r="D28" s="25" t="str">
        <f>IF(A28="","",IFERROR(SUMIFS('Evaluación escrita'!$E$6:$E$125,'Evaluación escrita'!$A$6:$A$125,A28,'Evaluación escrita'!$T$6:$T$125,"Sí")/B28,""))</f>
        <v/>
      </c>
      <c r="E28" s="25" t="str">
        <f>IF(A28="","",IFERROR(SUMIFS('Evaluación escrita'!$G$6:$G$125,'Evaluación escrita'!$A$6:$A$125,A28,'Evaluación escrita'!$T$6:$T$125,"Sí")/B28,""))</f>
        <v/>
      </c>
      <c r="F28" s="25" t="str">
        <f>IF(A28="","",IFERROR(SUMIFS('Evaluación escrita'!$I$6:$I$125,'Evaluación escrita'!$A$6:$A$125,A28,'Evaluación escrita'!$T$6:$T$125,"Sí")/B28,""))</f>
        <v/>
      </c>
      <c r="G28" s="25" t="str">
        <f>IF(A28="","",IFERROR(SUMIFS('Evaluación escrita'!$K$6:$K$125,'Evaluación escrita'!$A$6:$A$125,A28,'Evaluación escrita'!$T$6:$T$125,"Sí")/B28,""))</f>
        <v/>
      </c>
      <c r="H28" s="25" t="str">
        <f>IF(A28="","",IFERROR(SUMIFS('Evaluación escrita'!$M$6:$M$125,'Evaluación escrita'!$A$6:$A$125,A28,'Evaluación escrita'!$T$6:$T$125,"Sí")/B28,""))</f>
        <v/>
      </c>
      <c r="I28" s="13" t="str">
        <f>IF(A28="","",IF(B28&gt;=Instrucciones!$B46,"Sí","Pendiente"))</f>
        <v/>
      </c>
      <c r="J28" s="13" t="str">
        <f t="shared" si="0"/>
        <v/>
      </c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7"/>
      <c r="B29" s="13" t="str">
        <f>IF(A29="","",COUNTIFS('Evaluación escrita'!$A$6:$A$125,A29,'Evaluación escrita'!$T$6:$T$125,"Sí"))</f>
        <v/>
      </c>
      <c r="C29" s="25" t="str">
        <f>IF(A29="","",IFERROR(SUMIFS('Evaluación escrita'!$O$6:$O$125,'Evaluación escrita'!$A$6:$A$125,A29,'Evaluación escrita'!$T$6:$T$125,"Sí")/B29,""))</f>
        <v/>
      </c>
      <c r="D29" s="25" t="str">
        <f>IF(A29="","",IFERROR(SUMIFS('Evaluación escrita'!$E$6:$E$125,'Evaluación escrita'!$A$6:$A$125,A29,'Evaluación escrita'!$T$6:$T$125,"Sí")/B29,""))</f>
        <v/>
      </c>
      <c r="E29" s="25" t="str">
        <f>IF(A29="","",IFERROR(SUMIFS('Evaluación escrita'!$G$6:$G$125,'Evaluación escrita'!$A$6:$A$125,A29,'Evaluación escrita'!$T$6:$T$125,"Sí")/B29,""))</f>
        <v/>
      </c>
      <c r="F29" s="25" t="str">
        <f>IF(A29="","",IFERROR(SUMIFS('Evaluación escrita'!$I$6:$I$125,'Evaluación escrita'!$A$6:$A$125,A29,'Evaluación escrita'!$T$6:$T$125,"Sí")/B29,""))</f>
        <v/>
      </c>
      <c r="G29" s="25" t="str">
        <f>IF(A29="","",IFERROR(SUMIFS('Evaluación escrita'!$K$6:$K$125,'Evaluación escrita'!$A$6:$A$125,A29,'Evaluación escrita'!$T$6:$T$125,"Sí")/B29,""))</f>
        <v/>
      </c>
      <c r="H29" s="25" t="str">
        <f>IF(A29="","",IFERROR(SUMIFS('Evaluación escrita'!$M$6:$M$125,'Evaluación escrita'!$A$6:$A$125,A29,'Evaluación escrita'!$T$6:$T$125,"Sí")/B29,""))</f>
        <v/>
      </c>
      <c r="I29" s="13" t="str">
        <f>IF(A29="","",IF(B29&gt;=Instrucciones!$B47,"Sí","Pendiente"))</f>
        <v/>
      </c>
      <c r="J29" s="13" t="str">
        <f t="shared" si="0"/>
        <v/>
      </c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7"/>
      <c r="B30" s="13" t="str">
        <f>IF(A30="","",COUNTIFS('Evaluación escrita'!$A$6:$A$125,A30,'Evaluación escrita'!$T$6:$T$125,"Sí"))</f>
        <v/>
      </c>
      <c r="C30" s="25" t="str">
        <f>IF(A30="","",IFERROR(SUMIFS('Evaluación escrita'!$O$6:$O$125,'Evaluación escrita'!$A$6:$A$125,A30,'Evaluación escrita'!$T$6:$T$125,"Sí")/B30,""))</f>
        <v/>
      </c>
      <c r="D30" s="25" t="str">
        <f>IF(A30="","",IFERROR(SUMIFS('Evaluación escrita'!$E$6:$E$125,'Evaluación escrita'!$A$6:$A$125,A30,'Evaluación escrita'!$T$6:$T$125,"Sí")/B30,""))</f>
        <v/>
      </c>
      <c r="E30" s="25" t="str">
        <f>IF(A30="","",IFERROR(SUMIFS('Evaluación escrita'!$G$6:$G$125,'Evaluación escrita'!$A$6:$A$125,A30,'Evaluación escrita'!$T$6:$T$125,"Sí")/B30,""))</f>
        <v/>
      </c>
      <c r="F30" s="25" t="str">
        <f>IF(A30="","",IFERROR(SUMIFS('Evaluación escrita'!$I$6:$I$125,'Evaluación escrita'!$A$6:$A$125,A30,'Evaluación escrita'!$T$6:$T$125,"Sí")/B30,""))</f>
        <v/>
      </c>
      <c r="G30" s="25" t="str">
        <f>IF(A30="","",IFERROR(SUMIFS('Evaluación escrita'!$K$6:$K$125,'Evaluación escrita'!$A$6:$A$125,A30,'Evaluación escrita'!$T$6:$T$125,"Sí")/B30,""))</f>
        <v/>
      </c>
      <c r="H30" s="25" t="str">
        <f>IF(A30="","",IFERROR(SUMIFS('Evaluación escrita'!$M$6:$M$125,'Evaluación escrita'!$A$6:$A$125,A30,'Evaluación escrita'!$T$6:$T$125,"Sí")/B30,""))</f>
        <v/>
      </c>
      <c r="I30" s="13" t="str">
        <f>IF(A30="","",IF(B30&gt;=Instrucciones!$B48,"Sí","Pendiente"))</f>
        <v/>
      </c>
      <c r="J30" s="13" t="str">
        <f t="shared" si="0"/>
        <v/>
      </c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7"/>
      <c r="B31" s="13" t="str">
        <f>IF(A31="","",COUNTIFS('Evaluación escrita'!$A$6:$A$125,A31,'Evaluación escrita'!$T$6:$T$125,"Sí"))</f>
        <v/>
      </c>
      <c r="C31" s="25" t="str">
        <f>IF(A31="","",IFERROR(SUMIFS('Evaluación escrita'!$O$6:$O$125,'Evaluación escrita'!$A$6:$A$125,A31,'Evaluación escrita'!$T$6:$T$125,"Sí")/B31,""))</f>
        <v/>
      </c>
      <c r="D31" s="25" t="str">
        <f>IF(A31="","",IFERROR(SUMIFS('Evaluación escrita'!$E$6:$E$125,'Evaluación escrita'!$A$6:$A$125,A31,'Evaluación escrita'!$T$6:$T$125,"Sí")/B31,""))</f>
        <v/>
      </c>
      <c r="E31" s="25" t="str">
        <f>IF(A31="","",IFERROR(SUMIFS('Evaluación escrita'!$G$6:$G$125,'Evaluación escrita'!$A$6:$A$125,A31,'Evaluación escrita'!$T$6:$T$125,"Sí")/B31,""))</f>
        <v/>
      </c>
      <c r="F31" s="25" t="str">
        <f>IF(A31="","",IFERROR(SUMIFS('Evaluación escrita'!$I$6:$I$125,'Evaluación escrita'!$A$6:$A$125,A31,'Evaluación escrita'!$T$6:$T$125,"Sí")/B31,""))</f>
        <v/>
      </c>
      <c r="G31" s="25" t="str">
        <f>IF(A31="","",IFERROR(SUMIFS('Evaluación escrita'!$K$6:$K$125,'Evaluación escrita'!$A$6:$A$125,A31,'Evaluación escrita'!$T$6:$T$125,"Sí")/B31,""))</f>
        <v/>
      </c>
      <c r="H31" s="25" t="str">
        <f>IF(A31="","",IFERROR(SUMIFS('Evaluación escrita'!$M$6:$M$125,'Evaluación escrita'!$A$6:$A$125,A31,'Evaluación escrita'!$T$6:$T$125,"Sí")/B31,""))</f>
        <v/>
      </c>
      <c r="I31" s="13" t="str">
        <f>IF(A31="","",IF(B31&gt;=Instrucciones!$B49,"Sí","Pendiente"))</f>
        <v/>
      </c>
      <c r="J31" s="13" t="str">
        <f t="shared" si="0"/>
        <v/>
      </c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7"/>
      <c r="B32" s="13" t="str">
        <f>IF(A32="","",COUNTIFS('Evaluación escrita'!$A$6:$A$125,A32,'Evaluación escrita'!$T$6:$T$125,"Sí"))</f>
        <v/>
      </c>
      <c r="C32" s="25" t="str">
        <f>IF(A32="","",IFERROR(SUMIFS('Evaluación escrita'!$O$6:$O$125,'Evaluación escrita'!$A$6:$A$125,A32,'Evaluación escrita'!$T$6:$T$125,"Sí")/B32,""))</f>
        <v/>
      </c>
      <c r="D32" s="25" t="str">
        <f>IF(A32="","",IFERROR(SUMIFS('Evaluación escrita'!$E$6:$E$125,'Evaluación escrita'!$A$6:$A$125,A32,'Evaluación escrita'!$T$6:$T$125,"Sí")/B32,""))</f>
        <v/>
      </c>
      <c r="E32" s="25" t="str">
        <f>IF(A32="","",IFERROR(SUMIFS('Evaluación escrita'!$G$6:$G$125,'Evaluación escrita'!$A$6:$A$125,A32,'Evaluación escrita'!$T$6:$T$125,"Sí")/B32,""))</f>
        <v/>
      </c>
      <c r="F32" s="25" t="str">
        <f>IF(A32="","",IFERROR(SUMIFS('Evaluación escrita'!$I$6:$I$125,'Evaluación escrita'!$A$6:$A$125,A32,'Evaluación escrita'!$T$6:$T$125,"Sí")/B32,""))</f>
        <v/>
      </c>
      <c r="G32" s="25" t="str">
        <f>IF(A32="","",IFERROR(SUMIFS('Evaluación escrita'!$K$6:$K$125,'Evaluación escrita'!$A$6:$A$125,A32,'Evaluación escrita'!$T$6:$T$125,"Sí")/B32,""))</f>
        <v/>
      </c>
      <c r="H32" s="25" t="str">
        <f>IF(A32="","",IFERROR(SUMIFS('Evaluación escrita'!$M$6:$M$125,'Evaluación escrita'!$A$6:$A$125,A32,'Evaluación escrita'!$T$6:$T$125,"Sí")/B32,""))</f>
        <v/>
      </c>
      <c r="I32" s="13" t="str">
        <f>IF(A32="","",IF(B32&gt;=Instrucciones!$B50,"Sí","Pendiente"))</f>
        <v/>
      </c>
      <c r="J32" s="13" t="str">
        <f t="shared" si="0"/>
        <v/>
      </c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7"/>
      <c r="B33" s="13" t="str">
        <f>IF(A33="","",COUNTIFS('Evaluación escrita'!$A$6:$A$125,A33,'Evaluación escrita'!$T$6:$T$125,"Sí"))</f>
        <v/>
      </c>
      <c r="C33" s="25" t="str">
        <f>IF(A33="","",IFERROR(SUMIFS('Evaluación escrita'!$O$6:$O$125,'Evaluación escrita'!$A$6:$A$125,A33,'Evaluación escrita'!$T$6:$T$125,"Sí")/B33,""))</f>
        <v/>
      </c>
      <c r="D33" s="25" t="str">
        <f>IF(A33="","",IFERROR(SUMIFS('Evaluación escrita'!$E$6:$E$125,'Evaluación escrita'!$A$6:$A$125,A33,'Evaluación escrita'!$T$6:$T$125,"Sí")/B33,""))</f>
        <v/>
      </c>
      <c r="E33" s="25" t="str">
        <f>IF(A33="","",IFERROR(SUMIFS('Evaluación escrita'!$G$6:$G$125,'Evaluación escrita'!$A$6:$A$125,A33,'Evaluación escrita'!$T$6:$T$125,"Sí")/B33,""))</f>
        <v/>
      </c>
      <c r="F33" s="25" t="str">
        <f>IF(A33="","",IFERROR(SUMIFS('Evaluación escrita'!$I$6:$I$125,'Evaluación escrita'!$A$6:$A$125,A33,'Evaluación escrita'!$T$6:$T$125,"Sí")/B33,""))</f>
        <v/>
      </c>
      <c r="G33" s="25" t="str">
        <f>IF(A33="","",IFERROR(SUMIFS('Evaluación escrita'!$K$6:$K$125,'Evaluación escrita'!$A$6:$A$125,A33,'Evaluación escrita'!$T$6:$T$125,"Sí")/B33,""))</f>
        <v/>
      </c>
      <c r="H33" s="25" t="str">
        <f>IF(A33="","",IFERROR(SUMIFS('Evaluación escrita'!$M$6:$M$125,'Evaluación escrita'!$A$6:$A$125,A33,'Evaluación escrita'!$T$6:$T$125,"Sí")/B33,""))</f>
        <v/>
      </c>
      <c r="I33" s="13" t="str">
        <f>IF(A33="","",IF(B33&gt;=Instrucciones!$B51,"Sí","Pendiente"))</f>
        <v/>
      </c>
      <c r="J33" s="13" t="str">
        <f t="shared" si="0"/>
        <v/>
      </c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7"/>
      <c r="B34" s="13" t="str">
        <f>IF(A34="","",COUNTIFS('Evaluación escrita'!$A$6:$A$125,A34,'Evaluación escrita'!$T$6:$T$125,"Sí"))</f>
        <v/>
      </c>
      <c r="C34" s="25" t="str">
        <f>IF(A34="","",IFERROR(SUMIFS('Evaluación escrita'!$O$6:$O$125,'Evaluación escrita'!$A$6:$A$125,A34,'Evaluación escrita'!$T$6:$T$125,"Sí")/B34,""))</f>
        <v/>
      </c>
      <c r="D34" s="25" t="str">
        <f>IF(A34="","",IFERROR(SUMIFS('Evaluación escrita'!$E$6:$E$125,'Evaluación escrita'!$A$6:$A$125,A34,'Evaluación escrita'!$T$6:$T$125,"Sí")/B34,""))</f>
        <v/>
      </c>
      <c r="E34" s="25" t="str">
        <f>IF(A34="","",IFERROR(SUMIFS('Evaluación escrita'!$G$6:$G$125,'Evaluación escrita'!$A$6:$A$125,A34,'Evaluación escrita'!$T$6:$T$125,"Sí")/B34,""))</f>
        <v/>
      </c>
      <c r="F34" s="25" t="str">
        <f>IF(A34="","",IFERROR(SUMIFS('Evaluación escrita'!$I$6:$I$125,'Evaluación escrita'!$A$6:$A$125,A34,'Evaluación escrita'!$T$6:$T$125,"Sí")/B34,""))</f>
        <v/>
      </c>
      <c r="G34" s="25" t="str">
        <f>IF(A34="","",IFERROR(SUMIFS('Evaluación escrita'!$K$6:$K$125,'Evaluación escrita'!$A$6:$A$125,A34,'Evaluación escrita'!$T$6:$T$125,"Sí")/B34,""))</f>
        <v/>
      </c>
      <c r="H34" s="25" t="str">
        <f>IF(A34="","",IFERROR(SUMIFS('Evaluación escrita'!$M$6:$M$125,'Evaluación escrita'!$A$6:$A$125,A34,'Evaluación escrita'!$T$6:$T$125,"Sí")/B34,""))</f>
        <v/>
      </c>
      <c r="I34" s="13" t="str">
        <f>IF(A34="","",IF(B34&gt;=Instrucciones!$B52,"Sí","Pendiente"))</f>
        <v/>
      </c>
      <c r="J34" s="13" t="str">
        <f t="shared" si="0"/>
        <v/>
      </c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7"/>
      <c r="B35" s="13" t="str">
        <f>IF(A35="","",COUNTIFS('Evaluación escrita'!$A$6:$A$125,A35,'Evaluación escrita'!$T$6:$T$125,"Sí"))</f>
        <v/>
      </c>
      <c r="C35" s="25" t="str">
        <f>IF(A35="","",IFERROR(SUMIFS('Evaluación escrita'!$O$6:$O$125,'Evaluación escrita'!$A$6:$A$125,A35,'Evaluación escrita'!$T$6:$T$125,"Sí")/B35,""))</f>
        <v/>
      </c>
      <c r="D35" s="25" t="str">
        <f>IF(A35="","",IFERROR(SUMIFS('Evaluación escrita'!$E$6:$E$125,'Evaluación escrita'!$A$6:$A$125,A35,'Evaluación escrita'!$T$6:$T$125,"Sí")/B35,""))</f>
        <v/>
      </c>
      <c r="E35" s="25" t="str">
        <f>IF(A35="","",IFERROR(SUMIFS('Evaluación escrita'!$G$6:$G$125,'Evaluación escrita'!$A$6:$A$125,A35,'Evaluación escrita'!$T$6:$T$125,"Sí")/B35,""))</f>
        <v/>
      </c>
      <c r="F35" s="25" t="str">
        <f>IF(A35="","",IFERROR(SUMIFS('Evaluación escrita'!$I$6:$I$125,'Evaluación escrita'!$A$6:$A$125,A35,'Evaluación escrita'!$T$6:$T$125,"Sí")/B35,""))</f>
        <v/>
      </c>
      <c r="G35" s="25" t="str">
        <f>IF(A35="","",IFERROR(SUMIFS('Evaluación escrita'!$K$6:$K$125,'Evaluación escrita'!$A$6:$A$125,A35,'Evaluación escrita'!$T$6:$T$125,"Sí")/B35,""))</f>
        <v/>
      </c>
      <c r="H35" s="25" t="str">
        <f>IF(A35="","",IFERROR(SUMIFS('Evaluación escrita'!$M$6:$M$125,'Evaluación escrita'!$A$6:$A$125,A35,'Evaluación escrita'!$T$6:$T$125,"Sí")/B35,""))</f>
        <v/>
      </c>
      <c r="I35" s="13" t="str">
        <f>IF(A35="","",IF(B35&gt;=Instrucciones!$B53,"Sí","Pendiente"))</f>
        <v/>
      </c>
      <c r="J35" s="13" t="str">
        <f t="shared" si="0"/>
        <v/>
      </c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7"/>
      <c r="B36" s="13" t="str">
        <f>IF(A36="","",COUNTIFS('Evaluación escrita'!$A$6:$A$125,A36,'Evaluación escrita'!$T$6:$T$125,"Sí"))</f>
        <v/>
      </c>
      <c r="C36" s="25" t="str">
        <f>IF(A36="","",IFERROR(SUMIFS('Evaluación escrita'!$O$6:$O$125,'Evaluación escrita'!$A$6:$A$125,A36,'Evaluación escrita'!$T$6:$T$125,"Sí")/B36,""))</f>
        <v/>
      </c>
      <c r="D36" s="25" t="str">
        <f>IF(A36="","",IFERROR(SUMIFS('Evaluación escrita'!$E$6:$E$125,'Evaluación escrita'!$A$6:$A$125,A36,'Evaluación escrita'!$T$6:$T$125,"Sí")/B36,""))</f>
        <v/>
      </c>
      <c r="E36" s="25" t="str">
        <f>IF(A36="","",IFERROR(SUMIFS('Evaluación escrita'!$G$6:$G$125,'Evaluación escrita'!$A$6:$A$125,A36,'Evaluación escrita'!$T$6:$T$125,"Sí")/B36,""))</f>
        <v/>
      </c>
      <c r="F36" s="25" t="str">
        <f>IF(A36="","",IFERROR(SUMIFS('Evaluación escrita'!$I$6:$I$125,'Evaluación escrita'!$A$6:$A$125,A36,'Evaluación escrita'!$T$6:$T$125,"Sí")/B36,""))</f>
        <v/>
      </c>
      <c r="G36" s="25" t="str">
        <f>IF(A36="","",IFERROR(SUMIFS('Evaluación escrita'!$K$6:$K$125,'Evaluación escrita'!$A$6:$A$125,A36,'Evaluación escrita'!$T$6:$T$125,"Sí")/B36,""))</f>
        <v/>
      </c>
      <c r="H36" s="25" t="str">
        <f>IF(A36="","",IFERROR(SUMIFS('Evaluación escrita'!$M$6:$M$125,'Evaluación escrita'!$A$6:$A$125,A36,'Evaluación escrita'!$T$6:$T$125,"Sí")/B36,""))</f>
        <v/>
      </c>
      <c r="I36" s="13" t="str">
        <f>IF(A36="","",IF(B36&gt;=Instrucciones!$B54,"Sí","Pendiente"))</f>
        <v/>
      </c>
      <c r="J36" s="13" t="str">
        <f t="shared" si="0"/>
        <v/>
      </c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7"/>
      <c r="B37" s="13" t="str">
        <f>IF(A37="","",COUNTIFS('Evaluación escrita'!$A$6:$A$125,A37,'Evaluación escrita'!$T$6:$T$125,"Sí"))</f>
        <v/>
      </c>
      <c r="C37" s="25" t="str">
        <f>IF(A37="","",IFERROR(SUMIFS('Evaluación escrita'!$O$6:$O$125,'Evaluación escrita'!$A$6:$A$125,A37,'Evaluación escrita'!$T$6:$T$125,"Sí")/B37,""))</f>
        <v/>
      </c>
      <c r="D37" s="25" t="str">
        <f>IF(A37="","",IFERROR(SUMIFS('Evaluación escrita'!$E$6:$E$125,'Evaluación escrita'!$A$6:$A$125,A37,'Evaluación escrita'!$T$6:$T$125,"Sí")/B37,""))</f>
        <v/>
      </c>
      <c r="E37" s="25" t="str">
        <f>IF(A37="","",IFERROR(SUMIFS('Evaluación escrita'!$G$6:$G$125,'Evaluación escrita'!$A$6:$A$125,A37,'Evaluación escrita'!$T$6:$T$125,"Sí")/B37,""))</f>
        <v/>
      </c>
      <c r="F37" s="25" t="str">
        <f>IF(A37="","",IFERROR(SUMIFS('Evaluación escrita'!$I$6:$I$125,'Evaluación escrita'!$A$6:$A$125,A37,'Evaluación escrita'!$T$6:$T$125,"Sí")/B37,""))</f>
        <v/>
      </c>
      <c r="G37" s="25" t="str">
        <f>IF(A37="","",IFERROR(SUMIFS('Evaluación escrita'!$K$6:$K$125,'Evaluación escrita'!$A$6:$A$125,A37,'Evaluación escrita'!$T$6:$T$125,"Sí")/B37,""))</f>
        <v/>
      </c>
      <c r="H37" s="25" t="str">
        <f>IF(A37="","",IFERROR(SUMIFS('Evaluación escrita'!$M$6:$M$125,'Evaluación escrita'!$A$6:$A$125,A37,'Evaluación escrita'!$T$6:$T$125,"Sí")/B37,""))</f>
        <v/>
      </c>
      <c r="I37" s="13" t="str">
        <f>IF(A37="","",IF(B37&gt;=Instrucciones!$B55,"Sí","Pendiente"))</f>
        <v/>
      </c>
      <c r="J37" s="13" t="str">
        <f t="shared" si="0"/>
        <v/>
      </c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7"/>
      <c r="B38" s="13" t="str">
        <f>IF(A38="","",COUNTIFS('Evaluación escrita'!$A$6:$A$125,A38,'Evaluación escrita'!$T$6:$T$125,"Sí"))</f>
        <v/>
      </c>
      <c r="C38" s="25" t="str">
        <f>IF(A38="","",IFERROR(SUMIFS('Evaluación escrita'!$O$6:$O$125,'Evaluación escrita'!$A$6:$A$125,A38,'Evaluación escrita'!$T$6:$T$125,"Sí")/B38,""))</f>
        <v/>
      </c>
      <c r="D38" s="25" t="str">
        <f>IF(A38="","",IFERROR(SUMIFS('Evaluación escrita'!$E$6:$E$125,'Evaluación escrita'!$A$6:$A$125,A38,'Evaluación escrita'!$T$6:$T$125,"Sí")/B38,""))</f>
        <v/>
      </c>
      <c r="E38" s="25" t="str">
        <f>IF(A38="","",IFERROR(SUMIFS('Evaluación escrita'!$G$6:$G$125,'Evaluación escrita'!$A$6:$A$125,A38,'Evaluación escrita'!$T$6:$T$125,"Sí")/B38,""))</f>
        <v/>
      </c>
      <c r="F38" s="25" t="str">
        <f>IF(A38="","",IFERROR(SUMIFS('Evaluación escrita'!$I$6:$I$125,'Evaluación escrita'!$A$6:$A$125,A38,'Evaluación escrita'!$T$6:$T$125,"Sí")/B38,""))</f>
        <v/>
      </c>
      <c r="G38" s="25" t="str">
        <f>IF(A38="","",IFERROR(SUMIFS('Evaluación escrita'!$K$6:$K$125,'Evaluación escrita'!$A$6:$A$125,A38,'Evaluación escrita'!$T$6:$T$125,"Sí")/B38,""))</f>
        <v/>
      </c>
      <c r="H38" s="25" t="str">
        <f>IF(A38="","",IFERROR(SUMIFS('Evaluación escrita'!$M$6:$M$125,'Evaluación escrita'!$A$6:$A$125,A38,'Evaluación escrita'!$T$6:$T$125,"Sí")/B38,""))</f>
        <v/>
      </c>
      <c r="I38" s="13" t="str">
        <f>IF(A38="","",IF(B38&gt;=Instrucciones!$B56,"Sí","Pendiente"))</f>
        <v/>
      </c>
      <c r="J38" s="13" t="str">
        <f t="shared" ref="J38:J65" si="1">IF(C38="","",RANK(C38,$C$6:$C$65,0))</f>
        <v/>
      </c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7"/>
      <c r="B39" s="13" t="str">
        <f>IF(A39="","",COUNTIFS('Evaluación escrita'!$A$6:$A$125,A39,'Evaluación escrita'!$T$6:$T$125,"Sí"))</f>
        <v/>
      </c>
      <c r="C39" s="25" t="str">
        <f>IF(A39="","",IFERROR(SUMIFS('Evaluación escrita'!$O$6:$O$125,'Evaluación escrita'!$A$6:$A$125,A39,'Evaluación escrita'!$T$6:$T$125,"Sí")/B39,""))</f>
        <v/>
      </c>
      <c r="D39" s="25" t="str">
        <f>IF(A39="","",IFERROR(SUMIFS('Evaluación escrita'!$E$6:$E$125,'Evaluación escrita'!$A$6:$A$125,A39,'Evaluación escrita'!$T$6:$T$125,"Sí")/B39,""))</f>
        <v/>
      </c>
      <c r="E39" s="25" t="str">
        <f>IF(A39="","",IFERROR(SUMIFS('Evaluación escrita'!$G$6:$G$125,'Evaluación escrita'!$A$6:$A$125,A39,'Evaluación escrita'!$T$6:$T$125,"Sí")/B39,""))</f>
        <v/>
      </c>
      <c r="F39" s="25" t="str">
        <f>IF(A39="","",IFERROR(SUMIFS('Evaluación escrita'!$I$6:$I$125,'Evaluación escrita'!$A$6:$A$125,A39,'Evaluación escrita'!$T$6:$T$125,"Sí")/B39,""))</f>
        <v/>
      </c>
      <c r="G39" s="25" t="str">
        <f>IF(A39="","",IFERROR(SUMIFS('Evaluación escrita'!$K$6:$K$125,'Evaluación escrita'!$A$6:$A$125,A39,'Evaluación escrita'!$T$6:$T$125,"Sí")/B39,""))</f>
        <v/>
      </c>
      <c r="H39" s="25" t="str">
        <f>IF(A39="","",IFERROR(SUMIFS('Evaluación escrita'!$M$6:$M$125,'Evaluación escrita'!$A$6:$A$125,A39,'Evaluación escrita'!$T$6:$T$125,"Sí")/B39,""))</f>
        <v/>
      </c>
      <c r="I39" s="13" t="str">
        <f>IF(A39="","",IF(B39&gt;=Instrucciones!$B57,"Sí","Pendiente"))</f>
        <v/>
      </c>
      <c r="J39" s="13" t="str">
        <f t="shared" si="1"/>
        <v/>
      </c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7"/>
      <c r="B40" s="13" t="str">
        <f>IF(A40="","",COUNTIFS('Evaluación escrita'!$A$6:$A$125,A40,'Evaluación escrita'!$T$6:$T$125,"Sí"))</f>
        <v/>
      </c>
      <c r="C40" s="25" t="str">
        <f>IF(A40="","",IFERROR(SUMIFS('Evaluación escrita'!$O$6:$O$125,'Evaluación escrita'!$A$6:$A$125,A40,'Evaluación escrita'!$T$6:$T$125,"Sí")/B40,""))</f>
        <v/>
      </c>
      <c r="D40" s="25" t="str">
        <f>IF(A40="","",IFERROR(SUMIFS('Evaluación escrita'!$E$6:$E$125,'Evaluación escrita'!$A$6:$A$125,A40,'Evaluación escrita'!$T$6:$T$125,"Sí")/B40,""))</f>
        <v/>
      </c>
      <c r="E40" s="25" t="str">
        <f>IF(A40="","",IFERROR(SUMIFS('Evaluación escrita'!$G$6:$G$125,'Evaluación escrita'!$A$6:$A$125,A40,'Evaluación escrita'!$T$6:$T$125,"Sí")/B40,""))</f>
        <v/>
      </c>
      <c r="F40" s="25" t="str">
        <f>IF(A40="","",IFERROR(SUMIFS('Evaluación escrita'!$I$6:$I$125,'Evaluación escrita'!$A$6:$A$125,A40,'Evaluación escrita'!$T$6:$T$125,"Sí")/B40,""))</f>
        <v/>
      </c>
      <c r="G40" s="25" t="str">
        <f>IF(A40="","",IFERROR(SUMIFS('Evaluación escrita'!$K$6:$K$125,'Evaluación escrita'!$A$6:$A$125,A40,'Evaluación escrita'!$T$6:$T$125,"Sí")/B40,""))</f>
        <v/>
      </c>
      <c r="H40" s="25" t="str">
        <f>IF(A40="","",IFERROR(SUMIFS('Evaluación escrita'!$M$6:$M$125,'Evaluación escrita'!$A$6:$A$125,A40,'Evaluación escrita'!$T$6:$T$125,"Sí")/B40,""))</f>
        <v/>
      </c>
      <c r="I40" s="13" t="str">
        <f>IF(A40="","",IF(B40&gt;=Instrucciones!$B58,"Sí","Pendiente"))</f>
        <v/>
      </c>
      <c r="J40" s="13" t="str">
        <f t="shared" si="1"/>
        <v/>
      </c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7"/>
      <c r="B41" s="13" t="str">
        <f>IF(A41="","",COUNTIFS('Evaluación escrita'!$A$6:$A$125,A41,'Evaluación escrita'!$T$6:$T$125,"Sí"))</f>
        <v/>
      </c>
      <c r="C41" s="25" t="str">
        <f>IF(A41="","",IFERROR(SUMIFS('Evaluación escrita'!$O$6:$O$125,'Evaluación escrita'!$A$6:$A$125,A41,'Evaluación escrita'!$T$6:$T$125,"Sí")/B41,""))</f>
        <v/>
      </c>
      <c r="D41" s="25" t="str">
        <f>IF(A41="","",IFERROR(SUMIFS('Evaluación escrita'!$E$6:$E$125,'Evaluación escrita'!$A$6:$A$125,A41,'Evaluación escrita'!$T$6:$T$125,"Sí")/B41,""))</f>
        <v/>
      </c>
      <c r="E41" s="25" t="str">
        <f>IF(A41="","",IFERROR(SUMIFS('Evaluación escrita'!$G$6:$G$125,'Evaluación escrita'!$A$6:$A$125,A41,'Evaluación escrita'!$T$6:$T$125,"Sí")/B41,""))</f>
        <v/>
      </c>
      <c r="F41" s="25" t="str">
        <f>IF(A41="","",IFERROR(SUMIFS('Evaluación escrita'!$I$6:$I$125,'Evaluación escrita'!$A$6:$A$125,A41,'Evaluación escrita'!$T$6:$T$125,"Sí")/B41,""))</f>
        <v/>
      </c>
      <c r="G41" s="25" t="str">
        <f>IF(A41="","",IFERROR(SUMIFS('Evaluación escrita'!$K$6:$K$125,'Evaluación escrita'!$A$6:$A$125,A41,'Evaluación escrita'!$T$6:$T$125,"Sí")/B41,""))</f>
        <v/>
      </c>
      <c r="H41" s="25" t="str">
        <f>IF(A41="","",IFERROR(SUMIFS('Evaluación escrita'!$M$6:$M$125,'Evaluación escrita'!$A$6:$A$125,A41,'Evaluación escrita'!$T$6:$T$125,"Sí")/B41,""))</f>
        <v/>
      </c>
      <c r="I41" s="13" t="str">
        <f>IF(A41="","",IF(B41&gt;=Instrucciones!$B59,"Sí","Pendiente"))</f>
        <v/>
      </c>
      <c r="J41" s="13" t="str">
        <f t="shared" si="1"/>
        <v/>
      </c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7"/>
      <c r="B42" s="13" t="str">
        <f>IF(A42="","",COUNTIFS('Evaluación escrita'!$A$6:$A$125,A42,'Evaluación escrita'!$T$6:$T$125,"Sí"))</f>
        <v/>
      </c>
      <c r="C42" s="25" t="str">
        <f>IF(A42="","",IFERROR(SUMIFS('Evaluación escrita'!$O$6:$O$125,'Evaluación escrita'!$A$6:$A$125,A42,'Evaluación escrita'!$T$6:$T$125,"Sí")/B42,""))</f>
        <v/>
      </c>
      <c r="D42" s="25" t="str">
        <f>IF(A42="","",IFERROR(SUMIFS('Evaluación escrita'!$E$6:$E$125,'Evaluación escrita'!$A$6:$A$125,A42,'Evaluación escrita'!$T$6:$T$125,"Sí")/B42,""))</f>
        <v/>
      </c>
      <c r="E42" s="25" t="str">
        <f>IF(A42="","",IFERROR(SUMIFS('Evaluación escrita'!$G$6:$G$125,'Evaluación escrita'!$A$6:$A$125,A42,'Evaluación escrita'!$T$6:$T$125,"Sí")/B42,""))</f>
        <v/>
      </c>
      <c r="F42" s="25" t="str">
        <f>IF(A42="","",IFERROR(SUMIFS('Evaluación escrita'!$I$6:$I$125,'Evaluación escrita'!$A$6:$A$125,A42,'Evaluación escrita'!$T$6:$T$125,"Sí")/B42,""))</f>
        <v/>
      </c>
      <c r="G42" s="25" t="str">
        <f>IF(A42="","",IFERROR(SUMIFS('Evaluación escrita'!$K$6:$K$125,'Evaluación escrita'!$A$6:$A$125,A42,'Evaluación escrita'!$T$6:$T$125,"Sí")/B42,""))</f>
        <v/>
      </c>
      <c r="H42" s="25" t="str">
        <f>IF(A42="","",IFERROR(SUMIFS('Evaluación escrita'!$M$6:$M$125,'Evaluación escrita'!$A$6:$A$125,A42,'Evaluación escrita'!$T$6:$T$125,"Sí")/B42,""))</f>
        <v/>
      </c>
      <c r="I42" s="13" t="str">
        <f>IF(A42="","",IF(B42&gt;=Instrucciones!$B60,"Sí","Pendiente"))</f>
        <v/>
      </c>
      <c r="J42" s="13" t="str">
        <f t="shared" si="1"/>
        <v/>
      </c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7"/>
      <c r="B43" s="13" t="str">
        <f>IF(A43="","",COUNTIFS('Evaluación escrita'!$A$6:$A$125,A43,'Evaluación escrita'!$T$6:$T$125,"Sí"))</f>
        <v/>
      </c>
      <c r="C43" s="25" t="str">
        <f>IF(A43="","",IFERROR(SUMIFS('Evaluación escrita'!$O$6:$O$125,'Evaluación escrita'!$A$6:$A$125,A43,'Evaluación escrita'!$T$6:$T$125,"Sí")/B43,""))</f>
        <v/>
      </c>
      <c r="D43" s="25" t="str">
        <f>IF(A43="","",IFERROR(SUMIFS('Evaluación escrita'!$E$6:$E$125,'Evaluación escrita'!$A$6:$A$125,A43,'Evaluación escrita'!$T$6:$T$125,"Sí")/B43,""))</f>
        <v/>
      </c>
      <c r="E43" s="25" t="str">
        <f>IF(A43="","",IFERROR(SUMIFS('Evaluación escrita'!$G$6:$G$125,'Evaluación escrita'!$A$6:$A$125,A43,'Evaluación escrita'!$T$6:$T$125,"Sí")/B43,""))</f>
        <v/>
      </c>
      <c r="F43" s="25" t="str">
        <f>IF(A43="","",IFERROR(SUMIFS('Evaluación escrita'!$I$6:$I$125,'Evaluación escrita'!$A$6:$A$125,A43,'Evaluación escrita'!$T$6:$T$125,"Sí")/B43,""))</f>
        <v/>
      </c>
      <c r="G43" s="25" t="str">
        <f>IF(A43="","",IFERROR(SUMIFS('Evaluación escrita'!$K$6:$K$125,'Evaluación escrita'!$A$6:$A$125,A43,'Evaluación escrita'!$T$6:$T$125,"Sí")/B43,""))</f>
        <v/>
      </c>
      <c r="H43" s="25" t="str">
        <f>IF(A43="","",IFERROR(SUMIFS('Evaluación escrita'!$M$6:$M$125,'Evaluación escrita'!$A$6:$A$125,A43,'Evaluación escrita'!$T$6:$T$125,"Sí")/B43,""))</f>
        <v/>
      </c>
      <c r="I43" s="13" t="str">
        <f>IF(A43="","",IF(B43&gt;=Instrucciones!$B61,"Sí","Pendiente"))</f>
        <v/>
      </c>
      <c r="J43" s="13" t="str">
        <f t="shared" si="1"/>
        <v/>
      </c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7"/>
      <c r="B44" s="13" t="str">
        <f>IF(A44="","",COUNTIFS('Evaluación escrita'!$A$6:$A$125,A44,'Evaluación escrita'!$T$6:$T$125,"Sí"))</f>
        <v/>
      </c>
      <c r="C44" s="25" t="str">
        <f>IF(A44="","",IFERROR(SUMIFS('Evaluación escrita'!$O$6:$O$125,'Evaluación escrita'!$A$6:$A$125,A44,'Evaluación escrita'!$T$6:$T$125,"Sí")/B44,""))</f>
        <v/>
      </c>
      <c r="D44" s="25" t="str">
        <f>IF(A44="","",IFERROR(SUMIFS('Evaluación escrita'!$E$6:$E$125,'Evaluación escrita'!$A$6:$A$125,A44,'Evaluación escrita'!$T$6:$T$125,"Sí")/B44,""))</f>
        <v/>
      </c>
      <c r="E44" s="25" t="str">
        <f>IF(A44="","",IFERROR(SUMIFS('Evaluación escrita'!$G$6:$G$125,'Evaluación escrita'!$A$6:$A$125,A44,'Evaluación escrita'!$T$6:$T$125,"Sí")/B44,""))</f>
        <v/>
      </c>
      <c r="F44" s="25" t="str">
        <f>IF(A44="","",IFERROR(SUMIFS('Evaluación escrita'!$I$6:$I$125,'Evaluación escrita'!$A$6:$A$125,A44,'Evaluación escrita'!$T$6:$T$125,"Sí")/B44,""))</f>
        <v/>
      </c>
      <c r="G44" s="25" t="str">
        <f>IF(A44="","",IFERROR(SUMIFS('Evaluación escrita'!$K$6:$K$125,'Evaluación escrita'!$A$6:$A$125,A44,'Evaluación escrita'!$T$6:$T$125,"Sí")/B44,""))</f>
        <v/>
      </c>
      <c r="H44" s="25" t="str">
        <f>IF(A44="","",IFERROR(SUMIFS('Evaluación escrita'!$M$6:$M$125,'Evaluación escrita'!$A$6:$A$125,A44,'Evaluación escrita'!$T$6:$T$125,"Sí")/B44,""))</f>
        <v/>
      </c>
      <c r="I44" s="13" t="str">
        <f>IF(A44="","",IF(B44&gt;=Instrucciones!$B62,"Sí","Pendiente"))</f>
        <v/>
      </c>
      <c r="J44" s="13" t="str">
        <f t="shared" si="1"/>
        <v/>
      </c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7"/>
      <c r="B45" s="13" t="str">
        <f>IF(A45="","",COUNTIFS('Evaluación escrita'!$A$6:$A$125,A45,'Evaluación escrita'!$T$6:$T$125,"Sí"))</f>
        <v/>
      </c>
      <c r="C45" s="25" t="str">
        <f>IF(A45="","",IFERROR(SUMIFS('Evaluación escrita'!$O$6:$O$125,'Evaluación escrita'!$A$6:$A$125,A45,'Evaluación escrita'!$T$6:$T$125,"Sí")/B45,""))</f>
        <v/>
      </c>
      <c r="D45" s="25" t="str">
        <f>IF(A45="","",IFERROR(SUMIFS('Evaluación escrita'!$E$6:$E$125,'Evaluación escrita'!$A$6:$A$125,A45,'Evaluación escrita'!$T$6:$T$125,"Sí")/B45,""))</f>
        <v/>
      </c>
      <c r="E45" s="25" t="str">
        <f>IF(A45="","",IFERROR(SUMIFS('Evaluación escrita'!$G$6:$G$125,'Evaluación escrita'!$A$6:$A$125,A45,'Evaluación escrita'!$T$6:$T$125,"Sí")/B45,""))</f>
        <v/>
      </c>
      <c r="F45" s="25" t="str">
        <f>IF(A45="","",IFERROR(SUMIFS('Evaluación escrita'!$I$6:$I$125,'Evaluación escrita'!$A$6:$A$125,A45,'Evaluación escrita'!$T$6:$T$125,"Sí")/B45,""))</f>
        <v/>
      </c>
      <c r="G45" s="25" t="str">
        <f>IF(A45="","",IFERROR(SUMIFS('Evaluación escrita'!$K$6:$K$125,'Evaluación escrita'!$A$6:$A$125,A45,'Evaluación escrita'!$T$6:$T$125,"Sí")/B45,""))</f>
        <v/>
      </c>
      <c r="H45" s="25" t="str">
        <f>IF(A45="","",IFERROR(SUMIFS('Evaluación escrita'!$M$6:$M$125,'Evaluación escrita'!$A$6:$A$125,A45,'Evaluación escrita'!$T$6:$T$125,"Sí")/B45,""))</f>
        <v/>
      </c>
      <c r="I45" s="13" t="str">
        <f>IF(A45="","",IF(B45&gt;=Instrucciones!$B63,"Sí","Pendiente"))</f>
        <v/>
      </c>
      <c r="J45" s="13" t="str">
        <f t="shared" si="1"/>
        <v/>
      </c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7"/>
      <c r="B46" s="13" t="str">
        <f>IF(A46="","",COUNTIFS('Evaluación escrita'!$A$6:$A$125,A46,'Evaluación escrita'!$T$6:$T$125,"Sí"))</f>
        <v/>
      </c>
      <c r="C46" s="25" t="str">
        <f>IF(A46="","",IFERROR(SUMIFS('Evaluación escrita'!$O$6:$O$125,'Evaluación escrita'!$A$6:$A$125,A46,'Evaluación escrita'!$T$6:$T$125,"Sí")/B46,""))</f>
        <v/>
      </c>
      <c r="D46" s="25" t="str">
        <f>IF(A46="","",IFERROR(SUMIFS('Evaluación escrita'!$E$6:$E$125,'Evaluación escrita'!$A$6:$A$125,A46,'Evaluación escrita'!$T$6:$T$125,"Sí")/B46,""))</f>
        <v/>
      </c>
      <c r="E46" s="25" t="str">
        <f>IF(A46="","",IFERROR(SUMIFS('Evaluación escrita'!$G$6:$G$125,'Evaluación escrita'!$A$6:$A$125,A46,'Evaluación escrita'!$T$6:$T$125,"Sí")/B46,""))</f>
        <v/>
      </c>
      <c r="F46" s="25" t="str">
        <f>IF(A46="","",IFERROR(SUMIFS('Evaluación escrita'!$I$6:$I$125,'Evaluación escrita'!$A$6:$A$125,A46,'Evaluación escrita'!$T$6:$T$125,"Sí")/B46,""))</f>
        <v/>
      </c>
      <c r="G46" s="25" t="str">
        <f>IF(A46="","",IFERROR(SUMIFS('Evaluación escrita'!$K$6:$K$125,'Evaluación escrita'!$A$6:$A$125,A46,'Evaluación escrita'!$T$6:$T$125,"Sí")/B46,""))</f>
        <v/>
      </c>
      <c r="H46" s="25" t="str">
        <f>IF(A46="","",IFERROR(SUMIFS('Evaluación escrita'!$M$6:$M$125,'Evaluación escrita'!$A$6:$A$125,A46,'Evaluación escrita'!$T$6:$T$125,"Sí")/B46,""))</f>
        <v/>
      </c>
      <c r="I46" s="13" t="str">
        <f>IF(A46="","",IF(B46&gt;=Instrucciones!$B64,"Sí","Pendiente"))</f>
        <v/>
      </c>
      <c r="J46" s="13" t="str">
        <f t="shared" si="1"/>
        <v/>
      </c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7"/>
      <c r="B47" s="13" t="str">
        <f>IF(A47="","",COUNTIFS('Evaluación escrita'!$A$6:$A$125,A47,'Evaluación escrita'!$T$6:$T$125,"Sí"))</f>
        <v/>
      </c>
      <c r="C47" s="25" t="str">
        <f>IF(A47="","",IFERROR(SUMIFS('Evaluación escrita'!$O$6:$O$125,'Evaluación escrita'!$A$6:$A$125,A47,'Evaluación escrita'!$T$6:$T$125,"Sí")/B47,""))</f>
        <v/>
      </c>
      <c r="D47" s="25" t="str">
        <f>IF(A47="","",IFERROR(SUMIFS('Evaluación escrita'!$E$6:$E$125,'Evaluación escrita'!$A$6:$A$125,A47,'Evaluación escrita'!$T$6:$T$125,"Sí")/B47,""))</f>
        <v/>
      </c>
      <c r="E47" s="25" t="str">
        <f>IF(A47="","",IFERROR(SUMIFS('Evaluación escrita'!$G$6:$G$125,'Evaluación escrita'!$A$6:$A$125,A47,'Evaluación escrita'!$T$6:$T$125,"Sí")/B47,""))</f>
        <v/>
      </c>
      <c r="F47" s="25" t="str">
        <f>IF(A47="","",IFERROR(SUMIFS('Evaluación escrita'!$I$6:$I$125,'Evaluación escrita'!$A$6:$A$125,A47,'Evaluación escrita'!$T$6:$T$125,"Sí")/B47,""))</f>
        <v/>
      </c>
      <c r="G47" s="25" t="str">
        <f>IF(A47="","",IFERROR(SUMIFS('Evaluación escrita'!$K$6:$K$125,'Evaluación escrita'!$A$6:$A$125,A47,'Evaluación escrita'!$T$6:$T$125,"Sí")/B47,""))</f>
        <v/>
      </c>
      <c r="H47" s="25" t="str">
        <f>IF(A47="","",IFERROR(SUMIFS('Evaluación escrita'!$M$6:$M$125,'Evaluación escrita'!$A$6:$A$125,A47,'Evaluación escrita'!$T$6:$T$125,"Sí")/B47,""))</f>
        <v/>
      </c>
      <c r="I47" s="13" t="str">
        <f>IF(A47="","",IF(B47&gt;=Instrucciones!$B65,"Sí","Pendiente"))</f>
        <v/>
      </c>
      <c r="J47" s="13" t="str">
        <f t="shared" si="1"/>
        <v/>
      </c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7"/>
      <c r="B48" s="13" t="str">
        <f>IF(A48="","",COUNTIFS('Evaluación escrita'!$A$6:$A$125,A48,'Evaluación escrita'!$T$6:$T$125,"Sí"))</f>
        <v/>
      </c>
      <c r="C48" s="25" t="str">
        <f>IF(A48="","",IFERROR(SUMIFS('Evaluación escrita'!$O$6:$O$125,'Evaluación escrita'!$A$6:$A$125,A48,'Evaluación escrita'!$T$6:$T$125,"Sí")/B48,""))</f>
        <v/>
      </c>
      <c r="D48" s="25" t="str">
        <f>IF(A48="","",IFERROR(SUMIFS('Evaluación escrita'!$E$6:$E$125,'Evaluación escrita'!$A$6:$A$125,A48,'Evaluación escrita'!$T$6:$T$125,"Sí")/B48,""))</f>
        <v/>
      </c>
      <c r="E48" s="25" t="str">
        <f>IF(A48="","",IFERROR(SUMIFS('Evaluación escrita'!$G$6:$G$125,'Evaluación escrita'!$A$6:$A$125,A48,'Evaluación escrita'!$T$6:$T$125,"Sí")/B48,""))</f>
        <v/>
      </c>
      <c r="F48" s="25" t="str">
        <f>IF(A48="","",IFERROR(SUMIFS('Evaluación escrita'!$I$6:$I$125,'Evaluación escrita'!$A$6:$A$125,A48,'Evaluación escrita'!$T$6:$T$125,"Sí")/B48,""))</f>
        <v/>
      </c>
      <c r="G48" s="25" t="str">
        <f>IF(A48="","",IFERROR(SUMIFS('Evaluación escrita'!$K$6:$K$125,'Evaluación escrita'!$A$6:$A$125,A48,'Evaluación escrita'!$T$6:$T$125,"Sí")/B48,""))</f>
        <v/>
      </c>
      <c r="H48" s="25" t="str">
        <f>IF(A48="","",IFERROR(SUMIFS('Evaluación escrita'!$M$6:$M$125,'Evaluación escrita'!$A$6:$A$125,A48,'Evaluación escrita'!$T$6:$T$125,"Sí")/B48,""))</f>
        <v/>
      </c>
      <c r="I48" s="13" t="str">
        <f>IF(A48="","",IF(B48&gt;=Instrucciones!$B66,"Sí","Pendiente"))</f>
        <v/>
      </c>
      <c r="J48" s="13" t="str">
        <f t="shared" si="1"/>
        <v/>
      </c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7"/>
      <c r="B49" s="13" t="str">
        <f>IF(A49="","",COUNTIFS('Evaluación escrita'!$A$6:$A$125,A49,'Evaluación escrita'!$T$6:$T$125,"Sí"))</f>
        <v/>
      </c>
      <c r="C49" s="25" t="str">
        <f>IF(A49="","",IFERROR(SUMIFS('Evaluación escrita'!$O$6:$O$125,'Evaluación escrita'!$A$6:$A$125,A49,'Evaluación escrita'!$T$6:$T$125,"Sí")/B49,""))</f>
        <v/>
      </c>
      <c r="D49" s="25" t="str">
        <f>IF(A49="","",IFERROR(SUMIFS('Evaluación escrita'!$E$6:$E$125,'Evaluación escrita'!$A$6:$A$125,A49,'Evaluación escrita'!$T$6:$T$125,"Sí")/B49,""))</f>
        <v/>
      </c>
      <c r="E49" s="25" t="str">
        <f>IF(A49="","",IFERROR(SUMIFS('Evaluación escrita'!$G$6:$G$125,'Evaluación escrita'!$A$6:$A$125,A49,'Evaluación escrita'!$T$6:$T$125,"Sí")/B49,""))</f>
        <v/>
      </c>
      <c r="F49" s="25" t="str">
        <f>IF(A49="","",IFERROR(SUMIFS('Evaluación escrita'!$I$6:$I$125,'Evaluación escrita'!$A$6:$A$125,A49,'Evaluación escrita'!$T$6:$T$125,"Sí")/B49,""))</f>
        <v/>
      </c>
      <c r="G49" s="25" t="str">
        <f>IF(A49="","",IFERROR(SUMIFS('Evaluación escrita'!$K$6:$K$125,'Evaluación escrita'!$A$6:$A$125,A49,'Evaluación escrita'!$T$6:$T$125,"Sí")/B49,""))</f>
        <v/>
      </c>
      <c r="H49" s="25" t="str">
        <f>IF(A49="","",IFERROR(SUMIFS('Evaluación escrita'!$M$6:$M$125,'Evaluación escrita'!$A$6:$A$125,A49,'Evaluación escrita'!$T$6:$T$125,"Sí")/B49,""))</f>
        <v/>
      </c>
      <c r="I49" s="13" t="str">
        <f>IF(A49="","",IF(B49&gt;=Instrucciones!$B67,"Sí","Pendiente"))</f>
        <v/>
      </c>
      <c r="J49" s="13" t="str">
        <f t="shared" si="1"/>
        <v/>
      </c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7"/>
      <c r="B50" s="13" t="str">
        <f>IF(A50="","",COUNTIFS('Evaluación escrita'!$A$6:$A$125,A50,'Evaluación escrita'!$T$6:$T$125,"Sí"))</f>
        <v/>
      </c>
      <c r="C50" s="25" t="str">
        <f>IF(A50="","",IFERROR(SUMIFS('Evaluación escrita'!$O$6:$O$125,'Evaluación escrita'!$A$6:$A$125,A50,'Evaluación escrita'!$T$6:$T$125,"Sí")/B50,""))</f>
        <v/>
      </c>
      <c r="D50" s="25" t="str">
        <f>IF(A50="","",IFERROR(SUMIFS('Evaluación escrita'!$E$6:$E$125,'Evaluación escrita'!$A$6:$A$125,A50,'Evaluación escrita'!$T$6:$T$125,"Sí")/B50,""))</f>
        <v/>
      </c>
      <c r="E50" s="25" t="str">
        <f>IF(A50="","",IFERROR(SUMIFS('Evaluación escrita'!$G$6:$G$125,'Evaluación escrita'!$A$6:$A$125,A50,'Evaluación escrita'!$T$6:$T$125,"Sí")/B50,""))</f>
        <v/>
      </c>
      <c r="F50" s="25" t="str">
        <f>IF(A50="","",IFERROR(SUMIFS('Evaluación escrita'!$I$6:$I$125,'Evaluación escrita'!$A$6:$A$125,A50,'Evaluación escrita'!$T$6:$T$125,"Sí")/B50,""))</f>
        <v/>
      </c>
      <c r="G50" s="25" t="str">
        <f>IF(A50="","",IFERROR(SUMIFS('Evaluación escrita'!$K$6:$K$125,'Evaluación escrita'!$A$6:$A$125,A50,'Evaluación escrita'!$T$6:$T$125,"Sí")/B50,""))</f>
        <v/>
      </c>
      <c r="H50" s="25" t="str">
        <f>IF(A50="","",IFERROR(SUMIFS('Evaluación escrita'!$M$6:$M$125,'Evaluación escrita'!$A$6:$A$125,A50,'Evaluación escrita'!$T$6:$T$125,"Sí")/B50,""))</f>
        <v/>
      </c>
      <c r="I50" s="13" t="str">
        <f>IF(A50="","",IF(B50&gt;=Instrucciones!$B68,"Sí","Pendiente"))</f>
        <v/>
      </c>
      <c r="J50" s="13" t="str">
        <f t="shared" si="1"/>
        <v/>
      </c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7"/>
      <c r="B51" s="13" t="str">
        <f>IF(A51="","",COUNTIFS('Evaluación escrita'!$A$6:$A$125,A51,'Evaluación escrita'!$T$6:$T$125,"Sí"))</f>
        <v/>
      </c>
      <c r="C51" s="25" t="str">
        <f>IF(A51="","",IFERROR(SUMIFS('Evaluación escrita'!$O$6:$O$125,'Evaluación escrita'!$A$6:$A$125,A51,'Evaluación escrita'!$T$6:$T$125,"Sí")/B51,""))</f>
        <v/>
      </c>
      <c r="D51" s="25" t="str">
        <f>IF(A51="","",IFERROR(SUMIFS('Evaluación escrita'!$E$6:$E$125,'Evaluación escrita'!$A$6:$A$125,A51,'Evaluación escrita'!$T$6:$T$125,"Sí")/B51,""))</f>
        <v/>
      </c>
      <c r="E51" s="25" t="str">
        <f>IF(A51="","",IFERROR(SUMIFS('Evaluación escrita'!$G$6:$G$125,'Evaluación escrita'!$A$6:$A$125,A51,'Evaluación escrita'!$T$6:$T$125,"Sí")/B51,""))</f>
        <v/>
      </c>
      <c r="F51" s="25" t="str">
        <f>IF(A51="","",IFERROR(SUMIFS('Evaluación escrita'!$I$6:$I$125,'Evaluación escrita'!$A$6:$A$125,A51,'Evaluación escrita'!$T$6:$T$125,"Sí")/B51,""))</f>
        <v/>
      </c>
      <c r="G51" s="25" t="str">
        <f>IF(A51="","",IFERROR(SUMIFS('Evaluación escrita'!$K$6:$K$125,'Evaluación escrita'!$A$6:$A$125,A51,'Evaluación escrita'!$T$6:$T$125,"Sí")/B51,""))</f>
        <v/>
      </c>
      <c r="H51" s="25" t="str">
        <f>IF(A51="","",IFERROR(SUMIFS('Evaluación escrita'!$M$6:$M$125,'Evaluación escrita'!$A$6:$A$125,A51,'Evaluación escrita'!$T$6:$T$125,"Sí")/B51,""))</f>
        <v/>
      </c>
      <c r="I51" s="13" t="str">
        <f>IF(A51="","",IF(B51&gt;=Instrucciones!$B69,"Sí","Pendiente"))</f>
        <v/>
      </c>
      <c r="J51" s="13" t="str">
        <f t="shared" si="1"/>
        <v/>
      </c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7"/>
      <c r="B52" s="13" t="str">
        <f>IF(A52="","",COUNTIFS('Evaluación escrita'!$A$6:$A$125,A52,'Evaluación escrita'!$T$6:$T$125,"Sí"))</f>
        <v/>
      </c>
      <c r="C52" s="25" t="str">
        <f>IF(A52="","",IFERROR(SUMIFS('Evaluación escrita'!$O$6:$O$125,'Evaluación escrita'!$A$6:$A$125,A52,'Evaluación escrita'!$T$6:$T$125,"Sí")/B52,""))</f>
        <v/>
      </c>
      <c r="D52" s="25" t="str">
        <f>IF(A52="","",IFERROR(SUMIFS('Evaluación escrita'!$E$6:$E$125,'Evaluación escrita'!$A$6:$A$125,A52,'Evaluación escrita'!$T$6:$T$125,"Sí")/B52,""))</f>
        <v/>
      </c>
      <c r="E52" s="25" t="str">
        <f>IF(A52="","",IFERROR(SUMIFS('Evaluación escrita'!$G$6:$G$125,'Evaluación escrita'!$A$6:$A$125,A52,'Evaluación escrita'!$T$6:$T$125,"Sí")/B52,""))</f>
        <v/>
      </c>
      <c r="F52" s="25" t="str">
        <f>IF(A52="","",IFERROR(SUMIFS('Evaluación escrita'!$I$6:$I$125,'Evaluación escrita'!$A$6:$A$125,A52,'Evaluación escrita'!$T$6:$T$125,"Sí")/B52,""))</f>
        <v/>
      </c>
      <c r="G52" s="25" t="str">
        <f>IF(A52="","",IFERROR(SUMIFS('Evaluación escrita'!$K$6:$K$125,'Evaluación escrita'!$A$6:$A$125,A52,'Evaluación escrita'!$T$6:$T$125,"Sí")/B52,""))</f>
        <v/>
      </c>
      <c r="H52" s="25" t="str">
        <f>IF(A52="","",IFERROR(SUMIFS('Evaluación escrita'!$M$6:$M$125,'Evaluación escrita'!$A$6:$A$125,A52,'Evaluación escrita'!$T$6:$T$125,"Sí")/B52,""))</f>
        <v/>
      </c>
      <c r="I52" s="13" t="str">
        <f>IF(A52="","",IF(B52&gt;=Instrucciones!$B70,"Sí","Pendiente"))</f>
        <v/>
      </c>
      <c r="J52" s="13" t="str">
        <f t="shared" si="1"/>
        <v/>
      </c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7"/>
      <c r="B53" s="13" t="str">
        <f>IF(A53="","",COUNTIFS('Evaluación escrita'!$A$6:$A$125,A53,'Evaluación escrita'!$T$6:$T$125,"Sí"))</f>
        <v/>
      </c>
      <c r="C53" s="25" t="str">
        <f>IF(A53="","",IFERROR(SUMIFS('Evaluación escrita'!$O$6:$O$125,'Evaluación escrita'!$A$6:$A$125,A53,'Evaluación escrita'!$T$6:$T$125,"Sí")/B53,""))</f>
        <v/>
      </c>
      <c r="D53" s="25" t="str">
        <f>IF(A53="","",IFERROR(SUMIFS('Evaluación escrita'!$E$6:$E$125,'Evaluación escrita'!$A$6:$A$125,A53,'Evaluación escrita'!$T$6:$T$125,"Sí")/B53,""))</f>
        <v/>
      </c>
      <c r="E53" s="25" t="str">
        <f>IF(A53="","",IFERROR(SUMIFS('Evaluación escrita'!$G$6:$G$125,'Evaluación escrita'!$A$6:$A$125,A53,'Evaluación escrita'!$T$6:$T$125,"Sí")/B53,""))</f>
        <v/>
      </c>
      <c r="F53" s="25" t="str">
        <f>IF(A53="","",IFERROR(SUMIFS('Evaluación escrita'!$I$6:$I$125,'Evaluación escrita'!$A$6:$A$125,A53,'Evaluación escrita'!$T$6:$T$125,"Sí")/B53,""))</f>
        <v/>
      </c>
      <c r="G53" s="25" t="str">
        <f>IF(A53="","",IFERROR(SUMIFS('Evaluación escrita'!$K$6:$K$125,'Evaluación escrita'!$A$6:$A$125,A53,'Evaluación escrita'!$T$6:$T$125,"Sí")/B53,""))</f>
        <v/>
      </c>
      <c r="H53" s="25" t="str">
        <f>IF(A53="","",IFERROR(SUMIFS('Evaluación escrita'!$M$6:$M$125,'Evaluación escrita'!$A$6:$A$125,A53,'Evaluación escrita'!$T$6:$T$125,"Sí")/B53,""))</f>
        <v/>
      </c>
      <c r="I53" s="13" t="str">
        <f>IF(A53="","",IF(B53&gt;=Instrucciones!$B71,"Sí","Pendiente"))</f>
        <v/>
      </c>
      <c r="J53" s="13" t="str">
        <f t="shared" si="1"/>
        <v/>
      </c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7"/>
      <c r="B54" s="13" t="str">
        <f>IF(A54="","",COUNTIFS('Evaluación escrita'!$A$6:$A$125,A54,'Evaluación escrita'!$T$6:$T$125,"Sí"))</f>
        <v/>
      </c>
      <c r="C54" s="25" t="str">
        <f>IF(A54="","",IFERROR(SUMIFS('Evaluación escrita'!$O$6:$O$125,'Evaluación escrita'!$A$6:$A$125,A54,'Evaluación escrita'!$T$6:$T$125,"Sí")/B54,""))</f>
        <v/>
      </c>
      <c r="D54" s="25" t="str">
        <f>IF(A54="","",IFERROR(SUMIFS('Evaluación escrita'!$E$6:$E$125,'Evaluación escrita'!$A$6:$A$125,A54,'Evaluación escrita'!$T$6:$T$125,"Sí")/B54,""))</f>
        <v/>
      </c>
      <c r="E54" s="25" t="str">
        <f>IF(A54="","",IFERROR(SUMIFS('Evaluación escrita'!$G$6:$G$125,'Evaluación escrita'!$A$6:$A$125,A54,'Evaluación escrita'!$T$6:$T$125,"Sí")/B54,""))</f>
        <v/>
      </c>
      <c r="F54" s="25" t="str">
        <f>IF(A54="","",IFERROR(SUMIFS('Evaluación escrita'!$I$6:$I$125,'Evaluación escrita'!$A$6:$A$125,A54,'Evaluación escrita'!$T$6:$T$125,"Sí")/B54,""))</f>
        <v/>
      </c>
      <c r="G54" s="25" t="str">
        <f>IF(A54="","",IFERROR(SUMIFS('Evaluación escrita'!$K$6:$K$125,'Evaluación escrita'!$A$6:$A$125,A54,'Evaluación escrita'!$T$6:$T$125,"Sí")/B54,""))</f>
        <v/>
      </c>
      <c r="H54" s="25" t="str">
        <f>IF(A54="","",IFERROR(SUMIFS('Evaluación escrita'!$M$6:$M$125,'Evaluación escrita'!$A$6:$A$125,A54,'Evaluación escrita'!$T$6:$T$125,"Sí")/B54,""))</f>
        <v/>
      </c>
      <c r="I54" s="13" t="str">
        <f>IF(A54="","",IF(B54&gt;=Instrucciones!$B72,"Sí","Pendiente"))</f>
        <v/>
      </c>
      <c r="J54" s="13" t="str">
        <f t="shared" si="1"/>
        <v/>
      </c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7"/>
      <c r="B55" s="13" t="str">
        <f>IF(A55="","",COUNTIFS('Evaluación escrita'!$A$6:$A$125,A55,'Evaluación escrita'!$T$6:$T$125,"Sí"))</f>
        <v/>
      </c>
      <c r="C55" s="25" t="str">
        <f>IF(A55="","",IFERROR(SUMIFS('Evaluación escrita'!$O$6:$O$125,'Evaluación escrita'!$A$6:$A$125,A55,'Evaluación escrita'!$T$6:$T$125,"Sí")/B55,""))</f>
        <v/>
      </c>
      <c r="D55" s="25" t="str">
        <f>IF(A55="","",IFERROR(SUMIFS('Evaluación escrita'!$E$6:$E$125,'Evaluación escrita'!$A$6:$A$125,A55,'Evaluación escrita'!$T$6:$T$125,"Sí")/B55,""))</f>
        <v/>
      </c>
      <c r="E55" s="25" t="str">
        <f>IF(A55="","",IFERROR(SUMIFS('Evaluación escrita'!$G$6:$G$125,'Evaluación escrita'!$A$6:$A$125,A55,'Evaluación escrita'!$T$6:$T$125,"Sí")/B55,""))</f>
        <v/>
      </c>
      <c r="F55" s="25" t="str">
        <f>IF(A55="","",IFERROR(SUMIFS('Evaluación escrita'!$I$6:$I$125,'Evaluación escrita'!$A$6:$A$125,A55,'Evaluación escrita'!$T$6:$T$125,"Sí")/B55,""))</f>
        <v/>
      </c>
      <c r="G55" s="25" t="str">
        <f>IF(A55="","",IFERROR(SUMIFS('Evaluación escrita'!$K$6:$K$125,'Evaluación escrita'!$A$6:$A$125,A55,'Evaluación escrita'!$T$6:$T$125,"Sí")/B55,""))</f>
        <v/>
      </c>
      <c r="H55" s="25" t="str">
        <f>IF(A55="","",IFERROR(SUMIFS('Evaluación escrita'!$M$6:$M$125,'Evaluación escrita'!$A$6:$A$125,A55,'Evaluación escrita'!$T$6:$T$125,"Sí")/B55,""))</f>
        <v/>
      </c>
      <c r="I55" s="13" t="str">
        <f>IF(A55="","",IF(B55&gt;=Instrucciones!$B73,"Sí","Pendiente"))</f>
        <v/>
      </c>
      <c r="J55" s="13" t="str">
        <f t="shared" si="1"/>
        <v/>
      </c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7"/>
      <c r="B56" s="13" t="str">
        <f>IF(A56="","",COUNTIFS('Evaluación escrita'!$A$6:$A$125,A56,'Evaluación escrita'!$T$6:$T$125,"Sí"))</f>
        <v/>
      </c>
      <c r="C56" s="25" t="str">
        <f>IF(A56="","",IFERROR(SUMIFS('Evaluación escrita'!$O$6:$O$125,'Evaluación escrita'!$A$6:$A$125,A56,'Evaluación escrita'!$T$6:$T$125,"Sí")/B56,""))</f>
        <v/>
      </c>
      <c r="D56" s="25" t="str">
        <f>IF(A56="","",IFERROR(SUMIFS('Evaluación escrita'!$E$6:$E$125,'Evaluación escrita'!$A$6:$A$125,A56,'Evaluación escrita'!$T$6:$T$125,"Sí")/B56,""))</f>
        <v/>
      </c>
      <c r="E56" s="25" t="str">
        <f>IF(A56="","",IFERROR(SUMIFS('Evaluación escrita'!$G$6:$G$125,'Evaluación escrita'!$A$6:$A$125,A56,'Evaluación escrita'!$T$6:$T$125,"Sí")/B56,""))</f>
        <v/>
      </c>
      <c r="F56" s="25" t="str">
        <f>IF(A56="","",IFERROR(SUMIFS('Evaluación escrita'!$I$6:$I$125,'Evaluación escrita'!$A$6:$A$125,A56,'Evaluación escrita'!$T$6:$T$125,"Sí")/B56,""))</f>
        <v/>
      </c>
      <c r="G56" s="25" t="str">
        <f>IF(A56="","",IFERROR(SUMIFS('Evaluación escrita'!$K$6:$K$125,'Evaluación escrita'!$A$6:$A$125,A56,'Evaluación escrita'!$T$6:$T$125,"Sí")/B56,""))</f>
        <v/>
      </c>
      <c r="H56" s="25" t="str">
        <f>IF(A56="","",IFERROR(SUMIFS('Evaluación escrita'!$M$6:$M$125,'Evaluación escrita'!$A$6:$A$125,A56,'Evaluación escrita'!$T$6:$T$125,"Sí")/B56,""))</f>
        <v/>
      </c>
      <c r="I56" s="13" t="str">
        <f>IF(A56="","",IF(B56&gt;=Instrucciones!$B74,"Sí","Pendiente"))</f>
        <v/>
      </c>
      <c r="J56" s="13" t="str">
        <f t="shared" si="1"/>
        <v/>
      </c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7"/>
      <c r="B57" s="13" t="str">
        <f>IF(A57="","",COUNTIFS('Evaluación escrita'!$A$6:$A$125,A57,'Evaluación escrita'!$T$6:$T$125,"Sí"))</f>
        <v/>
      </c>
      <c r="C57" s="25" t="str">
        <f>IF(A57="","",IFERROR(SUMIFS('Evaluación escrita'!$O$6:$O$125,'Evaluación escrita'!$A$6:$A$125,A57,'Evaluación escrita'!$T$6:$T$125,"Sí")/B57,""))</f>
        <v/>
      </c>
      <c r="D57" s="25" t="str">
        <f>IF(A57="","",IFERROR(SUMIFS('Evaluación escrita'!$E$6:$E$125,'Evaluación escrita'!$A$6:$A$125,A57,'Evaluación escrita'!$T$6:$T$125,"Sí")/B57,""))</f>
        <v/>
      </c>
      <c r="E57" s="25" t="str">
        <f>IF(A57="","",IFERROR(SUMIFS('Evaluación escrita'!$G$6:$G$125,'Evaluación escrita'!$A$6:$A$125,A57,'Evaluación escrita'!$T$6:$T$125,"Sí")/B57,""))</f>
        <v/>
      </c>
      <c r="F57" s="25" t="str">
        <f>IF(A57="","",IFERROR(SUMIFS('Evaluación escrita'!$I$6:$I$125,'Evaluación escrita'!$A$6:$A$125,A57,'Evaluación escrita'!$T$6:$T$125,"Sí")/B57,""))</f>
        <v/>
      </c>
      <c r="G57" s="25" t="str">
        <f>IF(A57="","",IFERROR(SUMIFS('Evaluación escrita'!$K$6:$K$125,'Evaluación escrita'!$A$6:$A$125,A57,'Evaluación escrita'!$T$6:$T$125,"Sí")/B57,""))</f>
        <v/>
      </c>
      <c r="H57" s="25" t="str">
        <f>IF(A57="","",IFERROR(SUMIFS('Evaluación escrita'!$M$6:$M$125,'Evaluación escrita'!$A$6:$A$125,A57,'Evaluación escrita'!$T$6:$T$125,"Sí")/B57,""))</f>
        <v/>
      </c>
      <c r="I57" s="13" t="str">
        <f>IF(A57="","",IF(B57&gt;=Instrucciones!$B75,"Sí","Pendiente"))</f>
        <v/>
      </c>
      <c r="J57" s="13" t="str">
        <f t="shared" si="1"/>
        <v/>
      </c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7"/>
      <c r="B58" s="13" t="str">
        <f>IF(A58="","",COUNTIFS('Evaluación escrita'!$A$6:$A$125,A58,'Evaluación escrita'!$T$6:$T$125,"Sí"))</f>
        <v/>
      </c>
      <c r="C58" s="25" t="str">
        <f>IF(A58="","",IFERROR(SUMIFS('Evaluación escrita'!$O$6:$O$125,'Evaluación escrita'!$A$6:$A$125,A58,'Evaluación escrita'!$T$6:$T$125,"Sí")/B58,""))</f>
        <v/>
      </c>
      <c r="D58" s="25" t="str">
        <f>IF(A58="","",IFERROR(SUMIFS('Evaluación escrita'!$E$6:$E$125,'Evaluación escrita'!$A$6:$A$125,A58,'Evaluación escrita'!$T$6:$T$125,"Sí")/B58,""))</f>
        <v/>
      </c>
      <c r="E58" s="25" t="str">
        <f>IF(A58="","",IFERROR(SUMIFS('Evaluación escrita'!$G$6:$G$125,'Evaluación escrita'!$A$6:$A$125,A58,'Evaluación escrita'!$T$6:$T$125,"Sí")/B58,""))</f>
        <v/>
      </c>
      <c r="F58" s="25" t="str">
        <f>IF(A58="","",IFERROR(SUMIFS('Evaluación escrita'!$I$6:$I$125,'Evaluación escrita'!$A$6:$A$125,A58,'Evaluación escrita'!$T$6:$T$125,"Sí")/B58,""))</f>
        <v/>
      </c>
      <c r="G58" s="25" t="str">
        <f>IF(A58="","",IFERROR(SUMIFS('Evaluación escrita'!$K$6:$K$125,'Evaluación escrita'!$A$6:$A$125,A58,'Evaluación escrita'!$T$6:$T$125,"Sí")/B58,""))</f>
        <v/>
      </c>
      <c r="H58" s="25" t="str">
        <f>IF(A58="","",IFERROR(SUMIFS('Evaluación escrita'!$M$6:$M$125,'Evaluación escrita'!$A$6:$A$125,A58,'Evaluación escrita'!$T$6:$T$125,"Sí")/B58,""))</f>
        <v/>
      </c>
      <c r="I58" s="13" t="str">
        <f>IF(A58="","",IF(B58&gt;=Instrucciones!$B76,"Sí","Pendiente"))</f>
        <v/>
      </c>
      <c r="J58" s="13" t="str">
        <f t="shared" si="1"/>
        <v/>
      </c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7"/>
      <c r="B59" s="13" t="str">
        <f>IF(A59="","",COUNTIFS('Evaluación escrita'!$A$6:$A$125,A59,'Evaluación escrita'!$T$6:$T$125,"Sí"))</f>
        <v/>
      </c>
      <c r="C59" s="25" t="str">
        <f>IF(A59="","",IFERROR(SUMIFS('Evaluación escrita'!$O$6:$O$125,'Evaluación escrita'!$A$6:$A$125,A59,'Evaluación escrita'!$T$6:$T$125,"Sí")/B59,""))</f>
        <v/>
      </c>
      <c r="D59" s="25" t="str">
        <f>IF(A59="","",IFERROR(SUMIFS('Evaluación escrita'!$E$6:$E$125,'Evaluación escrita'!$A$6:$A$125,A59,'Evaluación escrita'!$T$6:$T$125,"Sí")/B59,""))</f>
        <v/>
      </c>
      <c r="E59" s="25" t="str">
        <f>IF(A59="","",IFERROR(SUMIFS('Evaluación escrita'!$G$6:$G$125,'Evaluación escrita'!$A$6:$A$125,A59,'Evaluación escrita'!$T$6:$T$125,"Sí")/B59,""))</f>
        <v/>
      </c>
      <c r="F59" s="25" t="str">
        <f>IF(A59="","",IFERROR(SUMIFS('Evaluación escrita'!$I$6:$I$125,'Evaluación escrita'!$A$6:$A$125,A59,'Evaluación escrita'!$T$6:$T$125,"Sí")/B59,""))</f>
        <v/>
      </c>
      <c r="G59" s="25" t="str">
        <f>IF(A59="","",IFERROR(SUMIFS('Evaluación escrita'!$K$6:$K$125,'Evaluación escrita'!$A$6:$A$125,A59,'Evaluación escrita'!$T$6:$T$125,"Sí")/B59,""))</f>
        <v/>
      </c>
      <c r="H59" s="25" t="str">
        <f>IF(A59="","",IFERROR(SUMIFS('Evaluación escrita'!$M$6:$M$125,'Evaluación escrita'!$A$6:$A$125,A59,'Evaluación escrita'!$T$6:$T$125,"Sí")/B59,""))</f>
        <v/>
      </c>
      <c r="I59" s="13" t="str">
        <f>IF(A59="","",IF(B59&gt;=Instrucciones!$B77,"Sí","Pendiente"))</f>
        <v/>
      </c>
      <c r="J59" s="13" t="str">
        <f t="shared" si="1"/>
        <v/>
      </c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7"/>
      <c r="B60" s="13" t="str">
        <f>IF(A60="","",COUNTIFS('Evaluación escrita'!$A$6:$A$125,A60,'Evaluación escrita'!$T$6:$T$125,"Sí"))</f>
        <v/>
      </c>
      <c r="C60" s="25" t="str">
        <f>IF(A60="","",IFERROR(SUMIFS('Evaluación escrita'!$O$6:$O$125,'Evaluación escrita'!$A$6:$A$125,A60,'Evaluación escrita'!$T$6:$T$125,"Sí")/B60,""))</f>
        <v/>
      </c>
      <c r="D60" s="25" t="str">
        <f>IF(A60="","",IFERROR(SUMIFS('Evaluación escrita'!$E$6:$E$125,'Evaluación escrita'!$A$6:$A$125,A60,'Evaluación escrita'!$T$6:$T$125,"Sí")/B60,""))</f>
        <v/>
      </c>
      <c r="E60" s="25" t="str">
        <f>IF(A60="","",IFERROR(SUMIFS('Evaluación escrita'!$G$6:$G$125,'Evaluación escrita'!$A$6:$A$125,A60,'Evaluación escrita'!$T$6:$T$125,"Sí")/B60,""))</f>
        <v/>
      </c>
      <c r="F60" s="25" t="str">
        <f>IF(A60="","",IFERROR(SUMIFS('Evaluación escrita'!$I$6:$I$125,'Evaluación escrita'!$A$6:$A$125,A60,'Evaluación escrita'!$T$6:$T$125,"Sí")/B60,""))</f>
        <v/>
      </c>
      <c r="G60" s="25" t="str">
        <f>IF(A60="","",IFERROR(SUMIFS('Evaluación escrita'!$K$6:$K$125,'Evaluación escrita'!$A$6:$A$125,A60,'Evaluación escrita'!$T$6:$T$125,"Sí")/B60,""))</f>
        <v/>
      </c>
      <c r="H60" s="25" t="str">
        <f>IF(A60="","",IFERROR(SUMIFS('Evaluación escrita'!$M$6:$M$125,'Evaluación escrita'!$A$6:$A$125,A60,'Evaluación escrita'!$T$6:$T$125,"Sí")/B60,""))</f>
        <v/>
      </c>
      <c r="I60" s="13" t="str">
        <f>IF(A60="","",IF(B60&gt;=Instrucciones!$B78,"Sí","Pendiente"))</f>
        <v/>
      </c>
      <c r="J60" s="13" t="str">
        <f t="shared" si="1"/>
        <v/>
      </c>
      <c r="K60" s="1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7"/>
      <c r="B61" s="13" t="str">
        <f>IF(A61="","",COUNTIFS('Evaluación escrita'!$A$6:$A$125,A61,'Evaluación escrita'!$T$6:$T$125,"Sí"))</f>
        <v/>
      </c>
      <c r="C61" s="25" t="str">
        <f>IF(A61="","",IFERROR(SUMIFS('Evaluación escrita'!$O$6:$O$125,'Evaluación escrita'!$A$6:$A$125,A61,'Evaluación escrita'!$T$6:$T$125,"Sí")/B61,""))</f>
        <v/>
      </c>
      <c r="D61" s="25" t="str">
        <f>IF(A61="","",IFERROR(SUMIFS('Evaluación escrita'!$E$6:$E$125,'Evaluación escrita'!$A$6:$A$125,A61,'Evaluación escrita'!$T$6:$T$125,"Sí")/B61,""))</f>
        <v/>
      </c>
      <c r="E61" s="25" t="str">
        <f>IF(A61="","",IFERROR(SUMIFS('Evaluación escrita'!$G$6:$G$125,'Evaluación escrita'!$A$6:$A$125,A61,'Evaluación escrita'!$T$6:$T$125,"Sí")/B61,""))</f>
        <v/>
      </c>
      <c r="F61" s="25" t="str">
        <f>IF(A61="","",IFERROR(SUMIFS('Evaluación escrita'!$I$6:$I$125,'Evaluación escrita'!$A$6:$A$125,A61,'Evaluación escrita'!$T$6:$T$125,"Sí")/B61,""))</f>
        <v/>
      </c>
      <c r="G61" s="25" t="str">
        <f>IF(A61="","",IFERROR(SUMIFS('Evaluación escrita'!$K$6:$K$125,'Evaluación escrita'!$A$6:$A$125,A61,'Evaluación escrita'!$T$6:$T$125,"Sí")/B61,""))</f>
        <v/>
      </c>
      <c r="H61" s="25" t="str">
        <f>IF(A61="","",IFERROR(SUMIFS('Evaluación escrita'!$M$6:$M$125,'Evaluación escrita'!$A$6:$A$125,A61,'Evaluación escrita'!$T$6:$T$125,"Sí")/B61,""))</f>
        <v/>
      </c>
      <c r="I61" s="13" t="str">
        <f>IF(A61="","",IF(B61&gt;=Instrucciones!$B79,"Sí","Pendiente"))</f>
        <v/>
      </c>
      <c r="J61" s="13" t="str">
        <f t="shared" si="1"/>
        <v/>
      </c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7"/>
      <c r="B62" s="13" t="str">
        <f>IF(A62="","",COUNTIFS('Evaluación escrita'!$A$6:$A$125,A62,'Evaluación escrita'!$T$6:$T$125,"Sí"))</f>
        <v/>
      </c>
      <c r="C62" s="25" t="str">
        <f>IF(A62="","",IFERROR(SUMIFS('Evaluación escrita'!$O$6:$O$125,'Evaluación escrita'!$A$6:$A$125,A62,'Evaluación escrita'!$T$6:$T$125,"Sí")/B62,""))</f>
        <v/>
      </c>
      <c r="D62" s="25" t="str">
        <f>IF(A62="","",IFERROR(SUMIFS('Evaluación escrita'!$E$6:$E$125,'Evaluación escrita'!$A$6:$A$125,A62,'Evaluación escrita'!$T$6:$T$125,"Sí")/B62,""))</f>
        <v/>
      </c>
      <c r="E62" s="25" t="str">
        <f>IF(A62="","",IFERROR(SUMIFS('Evaluación escrita'!$G$6:$G$125,'Evaluación escrita'!$A$6:$A$125,A62,'Evaluación escrita'!$T$6:$T$125,"Sí")/B62,""))</f>
        <v/>
      </c>
      <c r="F62" s="25" t="str">
        <f>IF(A62="","",IFERROR(SUMIFS('Evaluación escrita'!$I$6:$I$125,'Evaluación escrita'!$A$6:$A$125,A62,'Evaluación escrita'!$T$6:$T$125,"Sí")/B62,""))</f>
        <v/>
      </c>
      <c r="G62" s="25" t="str">
        <f>IF(A62="","",IFERROR(SUMIFS('Evaluación escrita'!$K$6:$K$125,'Evaluación escrita'!$A$6:$A$125,A62,'Evaluación escrita'!$T$6:$T$125,"Sí")/B62,""))</f>
        <v/>
      </c>
      <c r="H62" s="25" t="str">
        <f>IF(A62="","",IFERROR(SUMIFS('Evaluación escrita'!$M$6:$M$125,'Evaluación escrita'!$A$6:$A$125,A62,'Evaluación escrita'!$T$6:$T$125,"Sí")/B62,""))</f>
        <v/>
      </c>
      <c r="I62" s="13" t="str">
        <f>IF(A62="","",IF(B62&gt;=Instrucciones!$B80,"Sí","Pendiente"))</f>
        <v/>
      </c>
      <c r="J62" s="13" t="str">
        <f t="shared" si="1"/>
        <v/>
      </c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7"/>
      <c r="B63" s="13" t="str">
        <f>IF(A63="","",COUNTIFS('Evaluación escrita'!$A$6:$A$125,A63,'Evaluación escrita'!$T$6:$T$125,"Sí"))</f>
        <v/>
      </c>
      <c r="C63" s="25" t="str">
        <f>IF(A63="","",IFERROR(SUMIFS('Evaluación escrita'!$O$6:$O$125,'Evaluación escrita'!$A$6:$A$125,A63,'Evaluación escrita'!$T$6:$T$125,"Sí")/B63,""))</f>
        <v/>
      </c>
      <c r="D63" s="25" t="str">
        <f>IF(A63="","",IFERROR(SUMIFS('Evaluación escrita'!$E$6:$E$125,'Evaluación escrita'!$A$6:$A$125,A63,'Evaluación escrita'!$T$6:$T$125,"Sí")/B63,""))</f>
        <v/>
      </c>
      <c r="E63" s="25" t="str">
        <f>IF(A63="","",IFERROR(SUMIFS('Evaluación escrita'!$G$6:$G$125,'Evaluación escrita'!$A$6:$A$125,A63,'Evaluación escrita'!$T$6:$T$125,"Sí")/B63,""))</f>
        <v/>
      </c>
      <c r="F63" s="25" t="str">
        <f>IF(A63="","",IFERROR(SUMIFS('Evaluación escrita'!$I$6:$I$125,'Evaluación escrita'!$A$6:$A$125,A63,'Evaluación escrita'!$T$6:$T$125,"Sí")/B63,""))</f>
        <v/>
      </c>
      <c r="G63" s="25" t="str">
        <f>IF(A63="","",IFERROR(SUMIFS('Evaluación escrita'!$K$6:$K$125,'Evaluación escrita'!$A$6:$A$125,A63,'Evaluación escrita'!$T$6:$T$125,"Sí")/B63,""))</f>
        <v/>
      </c>
      <c r="H63" s="25" t="str">
        <f>IF(A63="","",IFERROR(SUMIFS('Evaluación escrita'!$M$6:$M$125,'Evaluación escrita'!$A$6:$A$125,A63,'Evaluación escrita'!$T$6:$T$125,"Sí")/B63,""))</f>
        <v/>
      </c>
      <c r="I63" s="13" t="str">
        <f>IF(A63="","",IF(B63&gt;=Instrucciones!$B81,"Sí","Pendiente"))</f>
        <v/>
      </c>
      <c r="J63" s="13" t="str">
        <f t="shared" si="1"/>
        <v/>
      </c>
      <c r="K63" s="1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7"/>
      <c r="B64" s="13" t="str">
        <f>IF(A64="","",COUNTIFS('Evaluación escrita'!$A$6:$A$125,A64,'Evaluación escrita'!$T$6:$T$125,"Sí"))</f>
        <v/>
      </c>
      <c r="C64" s="25" t="str">
        <f>IF(A64="","",IFERROR(SUMIFS('Evaluación escrita'!$O$6:$O$125,'Evaluación escrita'!$A$6:$A$125,A64,'Evaluación escrita'!$T$6:$T$125,"Sí")/B64,""))</f>
        <v/>
      </c>
      <c r="D64" s="25" t="str">
        <f>IF(A64="","",IFERROR(SUMIFS('Evaluación escrita'!$E$6:$E$125,'Evaluación escrita'!$A$6:$A$125,A64,'Evaluación escrita'!$T$6:$T$125,"Sí")/B64,""))</f>
        <v/>
      </c>
      <c r="E64" s="25" t="str">
        <f>IF(A64="","",IFERROR(SUMIFS('Evaluación escrita'!$G$6:$G$125,'Evaluación escrita'!$A$6:$A$125,A64,'Evaluación escrita'!$T$6:$T$125,"Sí")/B64,""))</f>
        <v/>
      </c>
      <c r="F64" s="25" t="str">
        <f>IF(A64="","",IFERROR(SUMIFS('Evaluación escrita'!$I$6:$I$125,'Evaluación escrita'!$A$6:$A$125,A64,'Evaluación escrita'!$T$6:$T$125,"Sí")/B64,""))</f>
        <v/>
      </c>
      <c r="G64" s="25" t="str">
        <f>IF(A64="","",IFERROR(SUMIFS('Evaluación escrita'!$K$6:$K$125,'Evaluación escrita'!$A$6:$A$125,A64,'Evaluación escrita'!$T$6:$T$125,"Sí")/B64,""))</f>
        <v/>
      </c>
      <c r="H64" s="25" t="str">
        <f>IF(A64="","",IFERROR(SUMIFS('Evaluación escrita'!$M$6:$M$125,'Evaluación escrita'!$A$6:$A$125,A64,'Evaluación escrita'!$T$6:$T$125,"Sí")/B64,""))</f>
        <v/>
      </c>
      <c r="I64" s="13" t="str">
        <f>IF(A64="","",IF(B64&gt;=Instrucciones!$B82,"Sí","Pendiente"))</f>
        <v/>
      </c>
      <c r="J64" s="13" t="str">
        <f t="shared" si="1"/>
        <v/>
      </c>
      <c r="K64" s="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8"/>
      <c r="B65" s="14" t="str">
        <f>IF(A65="","",COUNTIFS('Evaluación escrita'!$A$6:$A$125,A65,'Evaluación escrita'!$T$6:$T$125,"Sí"))</f>
        <v/>
      </c>
      <c r="C65" s="26" t="str">
        <f>IF(A65="","",IFERROR(SUMIFS('Evaluación escrita'!$O$6:$O$125,'Evaluación escrita'!$A$6:$A$125,A65,'Evaluación escrita'!$T$6:$T$125,"Sí")/B65,""))</f>
        <v/>
      </c>
      <c r="D65" s="26" t="str">
        <f>IF(A65="","",IFERROR(SUMIFS('Evaluación escrita'!$E$6:$E$125,'Evaluación escrita'!$A$6:$A$125,A65,'Evaluación escrita'!$T$6:$T$125,"Sí")/B65,""))</f>
        <v/>
      </c>
      <c r="E65" s="26" t="str">
        <f>IF(A65="","",IFERROR(SUMIFS('Evaluación escrita'!$G$6:$G$125,'Evaluación escrita'!$A$6:$A$125,A65,'Evaluación escrita'!$T$6:$T$125,"Sí")/B65,""))</f>
        <v/>
      </c>
      <c r="F65" s="26" t="str">
        <f>IF(A65="","",IFERROR(SUMIFS('Evaluación escrita'!$I$6:$I$125,'Evaluación escrita'!$A$6:$A$125,A65,'Evaluación escrita'!$T$6:$T$125,"Sí")/B65,""))</f>
        <v/>
      </c>
      <c r="G65" s="26" t="str">
        <f>IF(A65="","",IFERROR(SUMIFS('Evaluación escrita'!$K$6:$K$125,'Evaluación escrita'!$A$6:$A$125,A65,'Evaluación escrita'!$T$6:$T$125,"Sí")/B65,""))</f>
        <v/>
      </c>
      <c r="H65" s="26" t="str">
        <f>IF(A65="","",IFERROR(SUMIFS('Evaluación escrita'!$M$6:$M$125,'Evaluación escrita'!$A$6:$A$125,A65,'Evaluación escrita'!$T$6:$T$125,"Sí")/B65,""))</f>
        <v/>
      </c>
      <c r="I65" s="14" t="str">
        <f>IF(A65="","",IF(B65&gt;=Instrucciones!$B83,"Sí","Pendiente"))</f>
        <v/>
      </c>
      <c r="J65" s="14" t="str">
        <f t="shared" si="1"/>
        <v/>
      </c>
      <c r="K65" s="1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3">
    <mergeCell ref="A1:K2"/>
    <mergeCell ref="A3:K3"/>
    <mergeCell ref="M1:O1"/>
  </mergeCells>
  <conditionalFormatting sqref="C6:C65">
    <cfRule type="colorScale" priority="1">
      <colorScale>
        <cfvo type="min"/>
        <cfvo type="percentile" val="50"/>
        <cfvo type="max"/>
        <color rgb="FFFDE2E2"/>
        <color rgb="FFFFF1C7"/>
        <color rgb="FFDDF3E7"/>
      </colorScale>
    </cfRule>
  </conditionalFormatting>
  <conditionalFormatting sqref="I6:I65">
    <cfRule type="expression" dxfId="3" priority="2">
      <formula>I6="Sí"</formula>
    </cfRule>
    <cfRule type="expression" dxfId="2" priority="3">
      <formula>I6="Pendiente"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0"/>
  <sheetViews>
    <sheetView workbookViewId="0">
      <selection sqref="A1:K2"/>
    </sheetView>
  </sheetViews>
  <sheetFormatPr baseColWidth="10" defaultColWidth="9" defaultRowHeight="13.5"/>
  <cols>
    <col min="1" max="2" width="17" customWidth="1"/>
    <col min="3" max="3" width="15" customWidth="1"/>
    <col min="4" max="8" width="13" customWidth="1"/>
    <col min="9" max="9" width="18" customWidth="1"/>
    <col min="10" max="10" width="15" customWidth="1"/>
    <col min="11" max="11" width="36" customWidth="1"/>
    <col min="13" max="13" width="9" customWidth="1"/>
    <col min="14" max="14" width="42" customWidth="1"/>
    <col min="15" max="15" width="10" customWidth="1"/>
  </cols>
  <sheetData>
    <row r="1" spans="1:22" ht="13.9">
      <c r="A1" s="37" t="s">
        <v>115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1"/>
      <c r="M1" s="36" t="s">
        <v>92</v>
      </c>
      <c r="N1" s="36"/>
      <c r="O1" s="36"/>
      <c r="P1" s="1"/>
      <c r="Q1" s="1"/>
      <c r="R1" s="1"/>
      <c r="S1" s="1"/>
      <c r="T1" s="1"/>
      <c r="U1" s="1"/>
      <c r="V1" s="1"/>
    </row>
    <row r="2" spans="1:22" ht="13.9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1"/>
      <c r="M2" s="29" t="s">
        <v>93</v>
      </c>
      <c r="N2" s="29" t="s">
        <v>62</v>
      </c>
      <c r="O2" s="29" t="s">
        <v>63</v>
      </c>
      <c r="P2" s="1"/>
      <c r="Q2" s="1"/>
      <c r="R2" s="1"/>
      <c r="S2" s="1"/>
      <c r="T2" s="1"/>
      <c r="U2" s="1"/>
      <c r="V2" s="1"/>
    </row>
    <row r="3" spans="1:22" ht="13.9">
      <c r="A3" s="35" t="s">
        <v>94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1"/>
      <c r="M3" s="5" t="s">
        <v>95</v>
      </c>
      <c r="N3" s="5" t="s">
        <v>116</v>
      </c>
      <c r="O3" s="5">
        <v>25</v>
      </c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5" t="s">
        <v>97</v>
      </c>
      <c r="N4" s="5" t="s">
        <v>117</v>
      </c>
      <c r="O4" s="5">
        <v>25</v>
      </c>
      <c r="P4" s="1"/>
      <c r="Q4" s="1"/>
      <c r="R4" s="1"/>
      <c r="S4" s="1"/>
      <c r="T4" s="1"/>
      <c r="U4" s="1"/>
      <c r="V4" s="1"/>
    </row>
    <row r="5" spans="1:22" ht="19.05" customHeight="1">
      <c r="A5" s="28" t="s">
        <v>39</v>
      </c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  <c r="I5" s="28" t="s">
        <v>106</v>
      </c>
      <c r="J5" s="28" t="s">
        <v>107</v>
      </c>
      <c r="K5" s="28" t="s">
        <v>108</v>
      </c>
      <c r="L5" s="1"/>
      <c r="M5" s="5" t="s">
        <v>109</v>
      </c>
      <c r="N5" s="5" t="s">
        <v>118</v>
      </c>
      <c r="O5" s="5">
        <v>20</v>
      </c>
      <c r="P5" s="1"/>
      <c r="Q5" s="1"/>
      <c r="R5" s="1"/>
      <c r="S5" s="1"/>
      <c r="T5" s="1"/>
      <c r="U5" s="1"/>
      <c r="V5" s="1"/>
    </row>
    <row r="6" spans="1:22">
      <c r="A6" s="17"/>
      <c r="B6" s="13" t="str">
        <f>IF(A6="","",COUNTIFS('Final presencial'!$A$6:$A$125,A6,'Final presencial'!$T$6:$T$125,"Sí"))</f>
        <v/>
      </c>
      <c r="C6" s="25" t="str">
        <f>IF(A6="","",IFERROR(SUMIFS('Final presencial'!$O$6:$O$125,'Final presencial'!$A$6:$A$125,A6,'Final presencial'!$T$6:$T$125,"Sí")/B6,""))</f>
        <v/>
      </c>
      <c r="D6" s="25" t="str">
        <f>IF(A6="","",IFERROR(SUMIFS('Final presencial'!$E$6:$E$125,'Final presencial'!$A$6:$A$125,A6,'Final presencial'!$T$6:$T$125,"Sí")/B6,""))</f>
        <v/>
      </c>
      <c r="E6" s="25" t="str">
        <f>IF(A6="","",IFERROR(SUMIFS('Final presencial'!$G$6:$G$125,'Final presencial'!$A$6:$A$125,A6,'Final presencial'!$T$6:$T$125,"Sí")/B6,""))</f>
        <v/>
      </c>
      <c r="F6" s="25" t="str">
        <f>IF(A6="","",IFERROR(SUMIFS('Final presencial'!$I$6:$I$125,'Final presencial'!$A$6:$A$125,A6,'Final presencial'!$T$6:$T$125,"Sí")/B6,""))</f>
        <v/>
      </c>
      <c r="G6" s="25" t="str">
        <f>IF(A6="","",IFERROR(SUMIFS('Final presencial'!$K$6:$K$125,'Final presencial'!$A$6:$A$125,A6,'Final presencial'!$T$6:$T$125,"Sí")/B6,""))</f>
        <v/>
      </c>
      <c r="H6" s="25" t="str">
        <f>IF(A6="","",IFERROR(SUMIFS('Final presencial'!$M$6:$M$125,'Final presencial'!$A$6:$A$125,A6,'Final presencial'!$T$6:$T$125,"Sí")/B6,""))</f>
        <v/>
      </c>
      <c r="I6" s="13" t="str">
        <f>IF(A6="","",IF(B6&gt;=Instrucciones!$B25,"Sí","Pendiente"))</f>
        <v/>
      </c>
      <c r="J6" s="13" t="str">
        <f t="shared" ref="J6:J37" si="0">IF(C6="","",RANK(C6,$C$6:$C$65,0))</f>
        <v/>
      </c>
      <c r="K6" s="11"/>
      <c r="L6" s="1"/>
      <c r="M6" s="5" t="s">
        <v>111</v>
      </c>
      <c r="N6" s="5" t="s">
        <v>119</v>
      </c>
      <c r="O6" s="5">
        <v>20</v>
      </c>
      <c r="P6" s="1"/>
      <c r="Q6" s="1"/>
      <c r="R6" s="1"/>
      <c r="S6" s="1"/>
      <c r="T6" s="1"/>
      <c r="U6" s="1"/>
      <c r="V6" s="1"/>
    </row>
    <row r="7" spans="1:22">
      <c r="A7" s="17"/>
      <c r="B7" s="13" t="str">
        <f>IF(A7="","",COUNTIFS('Final presencial'!$A$6:$A$125,A7,'Final presencial'!$T$6:$T$125,"Sí"))</f>
        <v/>
      </c>
      <c r="C7" s="25" t="str">
        <f>IF(A7="","",IFERROR(SUMIFS('Final presencial'!$O$6:$O$125,'Final presencial'!$A$6:$A$125,A7,'Final presencial'!$T$6:$T$125,"Sí")/B7,""))</f>
        <v/>
      </c>
      <c r="D7" s="25" t="str">
        <f>IF(A7="","",IFERROR(SUMIFS('Final presencial'!$E$6:$E$125,'Final presencial'!$A$6:$A$125,A7,'Final presencial'!$T$6:$T$125,"Sí")/B7,""))</f>
        <v/>
      </c>
      <c r="E7" s="25" t="str">
        <f>IF(A7="","",IFERROR(SUMIFS('Final presencial'!$G$6:$G$125,'Final presencial'!$A$6:$A$125,A7,'Final presencial'!$T$6:$T$125,"Sí")/B7,""))</f>
        <v/>
      </c>
      <c r="F7" s="25" t="str">
        <f>IF(A7="","",IFERROR(SUMIFS('Final presencial'!$I$6:$I$125,'Final presencial'!$A$6:$A$125,A7,'Final presencial'!$T$6:$T$125,"Sí")/B7,""))</f>
        <v/>
      </c>
      <c r="G7" s="25" t="str">
        <f>IF(A7="","",IFERROR(SUMIFS('Final presencial'!$K$6:$K$125,'Final presencial'!$A$6:$A$125,A7,'Final presencial'!$T$6:$T$125,"Sí")/B7,""))</f>
        <v/>
      </c>
      <c r="H7" s="25" t="str">
        <f>IF(A7="","",IFERROR(SUMIFS('Final presencial'!$M$6:$M$125,'Final presencial'!$A$6:$A$125,A7,'Final presencial'!$T$6:$T$125,"Sí")/B7,""))</f>
        <v/>
      </c>
      <c r="I7" s="13" t="str">
        <f>IF(A7="","",IF(B7&gt;=Instrucciones!$B26,"Sí","Pendiente"))</f>
        <v/>
      </c>
      <c r="J7" s="13" t="str">
        <f t="shared" si="0"/>
        <v/>
      </c>
      <c r="K7" s="11"/>
      <c r="L7" s="1"/>
      <c r="M7" s="5" t="s">
        <v>113</v>
      </c>
      <c r="N7" s="5" t="s">
        <v>120</v>
      </c>
      <c r="O7" s="5">
        <v>10</v>
      </c>
      <c r="P7" s="1"/>
      <c r="Q7" s="1"/>
      <c r="R7" s="1"/>
      <c r="S7" s="1"/>
      <c r="T7" s="1"/>
      <c r="U7" s="1"/>
      <c r="V7" s="1"/>
    </row>
    <row r="8" spans="1:22">
      <c r="A8" s="17"/>
      <c r="B8" s="13" t="str">
        <f>IF(A8="","",COUNTIFS('Final presencial'!$A$6:$A$125,A8,'Final presencial'!$T$6:$T$125,"Sí"))</f>
        <v/>
      </c>
      <c r="C8" s="25" t="str">
        <f>IF(A8="","",IFERROR(SUMIFS('Final presencial'!$O$6:$O$125,'Final presencial'!$A$6:$A$125,A8,'Final presencial'!$T$6:$T$125,"Sí")/B8,""))</f>
        <v/>
      </c>
      <c r="D8" s="25" t="str">
        <f>IF(A8="","",IFERROR(SUMIFS('Final presencial'!$E$6:$E$125,'Final presencial'!$A$6:$A$125,A8,'Final presencial'!$T$6:$T$125,"Sí")/B8,""))</f>
        <v/>
      </c>
      <c r="E8" s="25" t="str">
        <f>IF(A8="","",IFERROR(SUMIFS('Final presencial'!$G$6:$G$125,'Final presencial'!$A$6:$A$125,A8,'Final presencial'!$T$6:$T$125,"Sí")/B8,""))</f>
        <v/>
      </c>
      <c r="F8" s="25" t="str">
        <f>IF(A8="","",IFERROR(SUMIFS('Final presencial'!$I$6:$I$125,'Final presencial'!$A$6:$A$125,A8,'Final presencial'!$T$6:$T$125,"Sí")/B8,""))</f>
        <v/>
      </c>
      <c r="G8" s="25" t="str">
        <f>IF(A8="","",IFERROR(SUMIFS('Final presencial'!$K$6:$K$125,'Final presencial'!$A$6:$A$125,A8,'Final presencial'!$T$6:$T$125,"Sí")/B8,""))</f>
        <v/>
      </c>
      <c r="H8" s="25" t="str">
        <f>IF(A8="","",IFERROR(SUMIFS('Final presencial'!$M$6:$M$125,'Final presencial'!$A$6:$A$125,A8,'Final presencial'!$T$6:$T$125,"Sí")/B8,""))</f>
        <v/>
      </c>
      <c r="I8" s="13" t="str">
        <f>IF(A8="","",IF(B8&gt;=Instrucciones!$B27,"Sí","Pendiente"))</f>
        <v/>
      </c>
      <c r="J8" s="13" t="str">
        <f t="shared" si="0"/>
        <v/>
      </c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7"/>
      <c r="B9" s="13" t="str">
        <f>IF(A9="","",COUNTIFS('Final presencial'!$A$6:$A$125,A9,'Final presencial'!$T$6:$T$125,"Sí"))</f>
        <v/>
      </c>
      <c r="C9" s="25" t="str">
        <f>IF(A9="","",IFERROR(SUMIFS('Final presencial'!$O$6:$O$125,'Final presencial'!$A$6:$A$125,A9,'Final presencial'!$T$6:$T$125,"Sí")/B9,""))</f>
        <v/>
      </c>
      <c r="D9" s="25" t="str">
        <f>IF(A9="","",IFERROR(SUMIFS('Final presencial'!$E$6:$E$125,'Final presencial'!$A$6:$A$125,A9,'Final presencial'!$T$6:$T$125,"Sí")/B9,""))</f>
        <v/>
      </c>
      <c r="E9" s="25" t="str">
        <f>IF(A9="","",IFERROR(SUMIFS('Final presencial'!$G$6:$G$125,'Final presencial'!$A$6:$A$125,A9,'Final presencial'!$T$6:$T$125,"Sí")/B9,""))</f>
        <v/>
      </c>
      <c r="F9" s="25" t="str">
        <f>IF(A9="","",IFERROR(SUMIFS('Final presencial'!$I$6:$I$125,'Final presencial'!$A$6:$A$125,A9,'Final presencial'!$T$6:$T$125,"Sí")/B9,""))</f>
        <v/>
      </c>
      <c r="G9" s="25" t="str">
        <f>IF(A9="","",IFERROR(SUMIFS('Final presencial'!$K$6:$K$125,'Final presencial'!$A$6:$A$125,A9,'Final presencial'!$T$6:$T$125,"Sí")/B9,""))</f>
        <v/>
      </c>
      <c r="H9" s="25" t="str">
        <f>IF(A9="","",IFERROR(SUMIFS('Final presencial'!$M$6:$M$125,'Final presencial'!$A$6:$A$125,A9,'Final presencial'!$T$6:$T$125,"Sí")/B9,""))</f>
        <v/>
      </c>
      <c r="I9" s="13" t="str">
        <f>IF(A9="","",IF(B9&gt;=Instrucciones!$B28,"Sí","Pendiente"))</f>
        <v/>
      </c>
      <c r="J9" s="13" t="str">
        <f t="shared" si="0"/>
        <v/>
      </c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7"/>
      <c r="B10" s="13" t="str">
        <f>IF(A10="","",COUNTIFS('Final presencial'!$A$6:$A$125,A10,'Final presencial'!$T$6:$T$125,"Sí"))</f>
        <v/>
      </c>
      <c r="C10" s="25" t="str">
        <f>IF(A10="","",IFERROR(SUMIFS('Final presencial'!$O$6:$O$125,'Final presencial'!$A$6:$A$125,A10,'Final presencial'!$T$6:$T$125,"Sí")/B10,""))</f>
        <v/>
      </c>
      <c r="D10" s="25" t="str">
        <f>IF(A10="","",IFERROR(SUMIFS('Final presencial'!$E$6:$E$125,'Final presencial'!$A$6:$A$125,A10,'Final presencial'!$T$6:$T$125,"Sí")/B10,""))</f>
        <v/>
      </c>
      <c r="E10" s="25" t="str">
        <f>IF(A10="","",IFERROR(SUMIFS('Final presencial'!$G$6:$G$125,'Final presencial'!$A$6:$A$125,A10,'Final presencial'!$T$6:$T$125,"Sí")/B10,""))</f>
        <v/>
      </c>
      <c r="F10" s="25" t="str">
        <f>IF(A10="","",IFERROR(SUMIFS('Final presencial'!$I$6:$I$125,'Final presencial'!$A$6:$A$125,A10,'Final presencial'!$T$6:$T$125,"Sí")/B10,""))</f>
        <v/>
      </c>
      <c r="G10" s="25" t="str">
        <f>IF(A10="","",IFERROR(SUMIFS('Final presencial'!$K$6:$K$125,'Final presencial'!$A$6:$A$125,A10,'Final presencial'!$T$6:$T$125,"Sí")/B10,""))</f>
        <v/>
      </c>
      <c r="H10" s="25" t="str">
        <f>IF(A10="","",IFERROR(SUMIFS('Final presencial'!$M$6:$M$125,'Final presencial'!$A$6:$A$125,A10,'Final presencial'!$T$6:$T$125,"Sí")/B10,""))</f>
        <v/>
      </c>
      <c r="I10" s="13" t="str">
        <f>IF(A10="","",IF(B10&gt;=Instrucciones!$B29,"Sí","Pendiente"))</f>
        <v/>
      </c>
      <c r="J10" s="13" t="str">
        <f t="shared" si="0"/>
        <v/>
      </c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7"/>
      <c r="B11" s="13" t="str">
        <f>IF(A11="","",COUNTIFS('Final presencial'!$A$6:$A$125,A11,'Final presencial'!$T$6:$T$125,"Sí"))</f>
        <v/>
      </c>
      <c r="C11" s="25" t="str">
        <f>IF(A11="","",IFERROR(SUMIFS('Final presencial'!$O$6:$O$125,'Final presencial'!$A$6:$A$125,A11,'Final presencial'!$T$6:$T$125,"Sí")/B11,""))</f>
        <v/>
      </c>
      <c r="D11" s="25" t="str">
        <f>IF(A11="","",IFERROR(SUMIFS('Final presencial'!$E$6:$E$125,'Final presencial'!$A$6:$A$125,A11,'Final presencial'!$T$6:$T$125,"Sí")/B11,""))</f>
        <v/>
      </c>
      <c r="E11" s="25" t="str">
        <f>IF(A11="","",IFERROR(SUMIFS('Final presencial'!$G$6:$G$125,'Final presencial'!$A$6:$A$125,A11,'Final presencial'!$T$6:$T$125,"Sí")/B11,""))</f>
        <v/>
      </c>
      <c r="F11" s="25" t="str">
        <f>IF(A11="","",IFERROR(SUMIFS('Final presencial'!$I$6:$I$125,'Final presencial'!$A$6:$A$125,A11,'Final presencial'!$T$6:$T$125,"Sí")/B11,""))</f>
        <v/>
      </c>
      <c r="G11" s="25" t="str">
        <f>IF(A11="","",IFERROR(SUMIFS('Final presencial'!$K$6:$K$125,'Final presencial'!$A$6:$A$125,A11,'Final presencial'!$T$6:$T$125,"Sí")/B11,""))</f>
        <v/>
      </c>
      <c r="H11" s="25" t="str">
        <f>IF(A11="","",IFERROR(SUMIFS('Final presencial'!$M$6:$M$125,'Final presencial'!$A$6:$A$125,A11,'Final presencial'!$T$6:$T$125,"Sí")/B11,""))</f>
        <v/>
      </c>
      <c r="I11" s="13" t="str">
        <f>IF(A11="","",IF(B11&gt;=Instrucciones!$B30,"Sí","Pendiente"))</f>
        <v/>
      </c>
      <c r="J11" s="13" t="str">
        <f t="shared" si="0"/>
        <v/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7"/>
      <c r="B12" s="13" t="str">
        <f>IF(A12="","",COUNTIFS('Final presencial'!$A$6:$A$125,A12,'Final presencial'!$T$6:$T$125,"Sí"))</f>
        <v/>
      </c>
      <c r="C12" s="25" t="str">
        <f>IF(A12="","",IFERROR(SUMIFS('Final presencial'!$O$6:$O$125,'Final presencial'!$A$6:$A$125,A12,'Final presencial'!$T$6:$T$125,"Sí")/B12,""))</f>
        <v/>
      </c>
      <c r="D12" s="25" t="str">
        <f>IF(A12="","",IFERROR(SUMIFS('Final presencial'!$E$6:$E$125,'Final presencial'!$A$6:$A$125,A12,'Final presencial'!$T$6:$T$125,"Sí")/B12,""))</f>
        <v/>
      </c>
      <c r="E12" s="25" t="str">
        <f>IF(A12="","",IFERROR(SUMIFS('Final presencial'!$G$6:$G$125,'Final presencial'!$A$6:$A$125,A12,'Final presencial'!$T$6:$T$125,"Sí")/B12,""))</f>
        <v/>
      </c>
      <c r="F12" s="25" t="str">
        <f>IF(A12="","",IFERROR(SUMIFS('Final presencial'!$I$6:$I$125,'Final presencial'!$A$6:$A$125,A12,'Final presencial'!$T$6:$T$125,"Sí")/B12,""))</f>
        <v/>
      </c>
      <c r="G12" s="25" t="str">
        <f>IF(A12="","",IFERROR(SUMIFS('Final presencial'!$K$6:$K$125,'Final presencial'!$A$6:$A$125,A12,'Final presencial'!$T$6:$T$125,"Sí")/B12,""))</f>
        <v/>
      </c>
      <c r="H12" s="25" t="str">
        <f>IF(A12="","",IFERROR(SUMIFS('Final presencial'!$M$6:$M$125,'Final presencial'!$A$6:$A$125,A12,'Final presencial'!$T$6:$T$125,"Sí")/B12,""))</f>
        <v/>
      </c>
      <c r="I12" s="13" t="str">
        <f>IF(A12="","",IF(B12&gt;=Instrucciones!$B31,"Sí","Pendiente"))</f>
        <v/>
      </c>
      <c r="J12" s="13" t="str">
        <f t="shared" si="0"/>
        <v/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7"/>
      <c r="B13" s="13" t="str">
        <f>IF(A13="","",COUNTIFS('Final presencial'!$A$6:$A$125,A13,'Final presencial'!$T$6:$T$125,"Sí"))</f>
        <v/>
      </c>
      <c r="C13" s="25" t="str">
        <f>IF(A13="","",IFERROR(SUMIFS('Final presencial'!$O$6:$O$125,'Final presencial'!$A$6:$A$125,A13,'Final presencial'!$T$6:$T$125,"Sí")/B13,""))</f>
        <v/>
      </c>
      <c r="D13" s="25" t="str">
        <f>IF(A13="","",IFERROR(SUMIFS('Final presencial'!$E$6:$E$125,'Final presencial'!$A$6:$A$125,A13,'Final presencial'!$T$6:$T$125,"Sí")/B13,""))</f>
        <v/>
      </c>
      <c r="E13" s="25" t="str">
        <f>IF(A13="","",IFERROR(SUMIFS('Final presencial'!$G$6:$G$125,'Final presencial'!$A$6:$A$125,A13,'Final presencial'!$T$6:$T$125,"Sí")/B13,""))</f>
        <v/>
      </c>
      <c r="F13" s="25" t="str">
        <f>IF(A13="","",IFERROR(SUMIFS('Final presencial'!$I$6:$I$125,'Final presencial'!$A$6:$A$125,A13,'Final presencial'!$T$6:$T$125,"Sí")/B13,""))</f>
        <v/>
      </c>
      <c r="G13" s="25" t="str">
        <f>IF(A13="","",IFERROR(SUMIFS('Final presencial'!$K$6:$K$125,'Final presencial'!$A$6:$A$125,A13,'Final presencial'!$T$6:$T$125,"Sí")/B13,""))</f>
        <v/>
      </c>
      <c r="H13" s="25" t="str">
        <f>IF(A13="","",IFERROR(SUMIFS('Final presencial'!$M$6:$M$125,'Final presencial'!$A$6:$A$125,A13,'Final presencial'!$T$6:$T$125,"Sí")/B13,""))</f>
        <v/>
      </c>
      <c r="I13" s="13" t="str">
        <f>IF(A13="","",IF(B13&gt;=Instrucciones!$B32,"Sí","Pendiente"))</f>
        <v/>
      </c>
      <c r="J13" s="13" t="str">
        <f t="shared" si="0"/>
        <v/>
      </c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7"/>
      <c r="B14" s="13" t="str">
        <f>IF(A14="","",COUNTIFS('Final presencial'!$A$6:$A$125,A14,'Final presencial'!$T$6:$T$125,"Sí"))</f>
        <v/>
      </c>
      <c r="C14" s="25" t="str">
        <f>IF(A14="","",IFERROR(SUMIFS('Final presencial'!$O$6:$O$125,'Final presencial'!$A$6:$A$125,A14,'Final presencial'!$T$6:$T$125,"Sí")/B14,""))</f>
        <v/>
      </c>
      <c r="D14" s="25" t="str">
        <f>IF(A14="","",IFERROR(SUMIFS('Final presencial'!$E$6:$E$125,'Final presencial'!$A$6:$A$125,A14,'Final presencial'!$T$6:$T$125,"Sí")/B14,""))</f>
        <v/>
      </c>
      <c r="E14" s="25" t="str">
        <f>IF(A14="","",IFERROR(SUMIFS('Final presencial'!$G$6:$G$125,'Final presencial'!$A$6:$A$125,A14,'Final presencial'!$T$6:$T$125,"Sí")/B14,""))</f>
        <v/>
      </c>
      <c r="F14" s="25" t="str">
        <f>IF(A14="","",IFERROR(SUMIFS('Final presencial'!$I$6:$I$125,'Final presencial'!$A$6:$A$125,A14,'Final presencial'!$T$6:$T$125,"Sí")/B14,""))</f>
        <v/>
      </c>
      <c r="G14" s="25" t="str">
        <f>IF(A14="","",IFERROR(SUMIFS('Final presencial'!$K$6:$K$125,'Final presencial'!$A$6:$A$125,A14,'Final presencial'!$T$6:$T$125,"Sí")/B14,""))</f>
        <v/>
      </c>
      <c r="H14" s="25" t="str">
        <f>IF(A14="","",IFERROR(SUMIFS('Final presencial'!$M$6:$M$125,'Final presencial'!$A$6:$A$125,A14,'Final presencial'!$T$6:$T$125,"Sí")/B14,""))</f>
        <v/>
      </c>
      <c r="I14" s="13" t="str">
        <f>IF(A14="","",IF(B14&gt;=Instrucciones!$B33,"Sí","Pendiente"))</f>
        <v/>
      </c>
      <c r="J14" s="13" t="str">
        <f t="shared" si="0"/>
        <v/>
      </c>
      <c r="K14" s="1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7"/>
      <c r="B15" s="13" t="str">
        <f>IF(A15="","",COUNTIFS('Final presencial'!$A$6:$A$125,A15,'Final presencial'!$T$6:$T$125,"Sí"))</f>
        <v/>
      </c>
      <c r="C15" s="25" t="str">
        <f>IF(A15="","",IFERROR(SUMIFS('Final presencial'!$O$6:$O$125,'Final presencial'!$A$6:$A$125,A15,'Final presencial'!$T$6:$T$125,"Sí")/B15,""))</f>
        <v/>
      </c>
      <c r="D15" s="25" t="str">
        <f>IF(A15="","",IFERROR(SUMIFS('Final presencial'!$E$6:$E$125,'Final presencial'!$A$6:$A$125,A15,'Final presencial'!$T$6:$T$125,"Sí")/B15,""))</f>
        <v/>
      </c>
      <c r="E15" s="25" t="str">
        <f>IF(A15="","",IFERROR(SUMIFS('Final presencial'!$G$6:$G$125,'Final presencial'!$A$6:$A$125,A15,'Final presencial'!$T$6:$T$125,"Sí")/B15,""))</f>
        <v/>
      </c>
      <c r="F15" s="25" t="str">
        <f>IF(A15="","",IFERROR(SUMIFS('Final presencial'!$I$6:$I$125,'Final presencial'!$A$6:$A$125,A15,'Final presencial'!$T$6:$T$125,"Sí")/B15,""))</f>
        <v/>
      </c>
      <c r="G15" s="25" t="str">
        <f>IF(A15="","",IFERROR(SUMIFS('Final presencial'!$K$6:$K$125,'Final presencial'!$A$6:$A$125,A15,'Final presencial'!$T$6:$T$125,"Sí")/B15,""))</f>
        <v/>
      </c>
      <c r="H15" s="25" t="str">
        <f>IF(A15="","",IFERROR(SUMIFS('Final presencial'!$M$6:$M$125,'Final presencial'!$A$6:$A$125,A15,'Final presencial'!$T$6:$T$125,"Sí")/B15,""))</f>
        <v/>
      </c>
      <c r="I15" s="13" t="str">
        <f>IF(A15="","",IF(B15&gt;=Instrucciones!$B34,"Sí","Pendiente"))</f>
        <v/>
      </c>
      <c r="J15" s="13" t="str">
        <f t="shared" si="0"/>
        <v/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7"/>
      <c r="B16" s="13" t="str">
        <f>IF(A16="","",COUNTIFS('Final presencial'!$A$6:$A$125,A16,'Final presencial'!$T$6:$T$125,"Sí"))</f>
        <v/>
      </c>
      <c r="C16" s="25" t="str">
        <f>IF(A16="","",IFERROR(SUMIFS('Final presencial'!$O$6:$O$125,'Final presencial'!$A$6:$A$125,A16,'Final presencial'!$T$6:$T$125,"Sí")/B16,""))</f>
        <v/>
      </c>
      <c r="D16" s="25" t="str">
        <f>IF(A16="","",IFERROR(SUMIFS('Final presencial'!$E$6:$E$125,'Final presencial'!$A$6:$A$125,A16,'Final presencial'!$T$6:$T$125,"Sí")/B16,""))</f>
        <v/>
      </c>
      <c r="E16" s="25" t="str">
        <f>IF(A16="","",IFERROR(SUMIFS('Final presencial'!$G$6:$G$125,'Final presencial'!$A$6:$A$125,A16,'Final presencial'!$T$6:$T$125,"Sí")/B16,""))</f>
        <v/>
      </c>
      <c r="F16" s="25" t="str">
        <f>IF(A16="","",IFERROR(SUMIFS('Final presencial'!$I$6:$I$125,'Final presencial'!$A$6:$A$125,A16,'Final presencial'!$T$6:$T$125,"Sí")/B16,""))</f>
        <v/>
      </c>
      <c r="G16" s="25" t="str">
        <f>IF(A16="","",IFERROR(SUMIFS('Final presencial'!$K$6:$K$125,'Final presencial'!$A$6:$A$125,A16,'Final presencial'!$T$6:$T$125,"Sí")/B16,""))</f>
        <v/>
      </c>
      <c r="H16" s="25" t="str">
        <f>IF(A16="","",IFERROR(SUMIFS('Final presencial'!$M$6:$M$125,'Final presencial'!$A$6:$A$125,A16,'Final presencial'!$T$6:$T$125,"Sí")/B16,""))</f>
        <v/>
      </c>
      <c r="I16" s="13" t="str">
        <f>IF(A16="","",IF(B16&gt;=Instrucciones!$B35,"Sí","Pendiente"))</f>
        <v/>
      </c>
      <c r="J16" s="13" t="str">
        <f t="shared" si="0"/>
        <v/>
      </c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7"/>
      <c r="B17" s="13" t="str">
        <f>IF(A17="","",COUNTIFS('Final presencial'!$A$6:$A$125,A17,'Final presencial'!$T$6:$T$125,"Sí"))</f>
        <v/>
      </c>
      <c r="C17" s="25" t="str">
        <f>IF(A17="","",IFERROR(SUMIFS('Final presencial'!$O$6:$O$125,'Final presencial'!$A$6:$A$125,A17,'Final presencial'!$T$6:$T$125,"Sí")/B17,""))</f>
        <v/>
      </c>
      <c r="D17" s="25" t="str">
        <f>IF(A17="","",IFERROR(SUMIFS('Final presencial'!$E$6:$E$125,'Final presencial'!$A$6:$A$125,A17,'Final presencial'!$T$6:$T$125,"Sí")/B17,""))</f>
        <v/>
      </c>
      <c r="E17" s="25" t="str">
        <f>IF(A17="","",IFERROR(SUMIFS('Final presencial'!$G$6:$G$125,'Final presencial'!$A$6:$A$125,A17,'Final presencial'!$T$6:$T$125,"Sí")/B17,""))</f>
        <v/>
      </c>
      <c r="F17" s="25" t="str">
        <f>IF(A17="","",IFERROR(SUMIFS('Final presencial'!$I$6:$I$125,'Final presencial'!$A$6:$A$125,A17,'Final presencial'!$T$6:$T$125,"Sí")/B17,""))</f>
        <v/>
      </c>
      <c r="G17" s="25" t="str">
        <f>IF(A17="","",IFERROR(SUMIFS('Final presencial'!$K$6:$K$125,'Final presencial'!$A$6:$A$125,A17,'Final presencial'!$T$6:$T$125,"Sí")/B17,""))</f>
        <v/>
      </c>
      <c r="H17" s="25" t="str">
        <f>IF(A17="","",IFERROR(SUMIFS('Final presencial'!$M$6:$M$125,'Final presencial'!$A$6:$A$125,A17,'Final presencial'!$T$6:$T$125,"Sí")/B17,""))</f>
        <v/>
      </c>
      <c r="I17" s="13" t="str">
        <f>IF(A17="","",IF(B17&gt;=Instrucciones!$B36,"Sí","Pendiente"))</f>
        <v/>
      </c>
      <c r="J17" s="13" t="str">
        <f t="shared" si="0"/>
        <v/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7"/>
      <c r="B18" s="13" t="str">
        <f>IF(A18="","",COUNTIFS('Final presencial'!$A$6:$A$125,A18,'Final presencial'!$T$6:$T$125,"Sí"))</f>
        <v/>
      </c>
      <c r="C18" s="25" t="str">
        <f>IF(A18="","",IFERROR(SUMIFS('Final presencial'!$O$6:$O$125,'Final presencial'!$A$6:$A$125,A18,'Final presencial'!$T$6:$T$125,"Sí")/B18,""))</f>
        <v/>
      </c>
      <c r="D18" s="25" t="str">
        <f>IF(A18="","",IFERROR(SUMIFS('Final presencial'!$E$6:$E$125,'Final presencial'!$A$6:$A$125,A18,'Final presencial'!$T$6:$T$125,"Sí")/B18,""))</f>
        <v/>
      </c>
      <c r="E18" s="25" t="str">
        <f>IF(A18="","",IFERROR(SUMIFS('Final presencial'!$G$6:$G$125,'Final presencial'!$A$6:$A$125,A18,'Final presencial'!$T$6:$T$125,"Sí")/B18,""))</f>
        <v/>
      </c>
      <c r="F18" s="25" t="str">
        <f>IF(A18="","",IFERROR(SUMIFS('Final presencial'!$I$6:$I$125,'Final presencial'!$A$6:$A$125,A18,'Final presencial'!$T$6:$T$125,"Sí")/B18,""))</f>
        <v/>
      </c>
      <c r="G18" s="25" t="str">
        <f>IF(A18="","",IFERROR(SUMIFS('Final presencial'!$K$6:$K$125,'Final presencial'!$A$6:$A$125,A18,'Final presencial'!$T$6:$T$125,"Sí")/B18,""))</f>
        <v/>
      </c>
      <c r="H18" s="25" t="str">
        <f>IF(A18="","",IFERROR(SUMIFS('Final presencial'!$M$6:$M$125,'Final presencial'!$A$6:$A$125,A18,'Final presencial'!$T$6:$T$125,"Sí")/B18,""))</f>
        <v/>
      </c>
      <c r="I18" s="13" t="str">
        <f>IF(A18="","",IF(B18&gt;=Instrucciones!$B37,"Sí","Pendiente"))</f>
        <v/>
      </c>
      <c r="J18" s="13" t="str">
        <f t="shared" si="0"/>
        <v/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7"/>
      <c r="B19" s="13" t="str">
        <f>IF(A19="","",COUNTIFS('Final presencial'!$A$6:$A$125,A19,'Final presencial'!$T$6:$T$125,"Sí"))</f>
        <v/>
      </c>
      <c r="C19" s="25" t="str">
        <f>IF(A19="","",IFERROR(SUMIFS('Final presencial'!$O$6:$O$125,'Final presencial'!$A$6:$A$125,A19,'Final presencial'!$T$6:$T$125,"Sí")/B19,""))</f>
        <v/>
      </c>
      <c r="D19" s="25" t="str">
        <f>IF(A19="","",IFERROR(SUMIFS('Final presencial'!$E$6:$E$125,'Final presencial'!$A$6:$A$125,A19,'Final presencial'!$T$6:$T$125,"Sí")/B19,""))</f>
        <v/>
      </c>
      <c r="E19" s="25" t="str">
        <f>IF(A19="","",IFERROR(SUMIFS('Final presencial'!$G$6:$G$125,'Final presencial'!$A$6:$A$125,A19,'Final presencial'!$T$6:$T$125,"Sí")/B19,""))</f>
        <v/>
      </c>
      <c r="F19" s="25" t="str">
        <f>IF(A19="","",IFERROR(SUMIFS('Final presencial'!$I$6:$I$125,'Final presencial'!$A$6:$A$125,A19,'Final presencial'!$T$6:$T$125,"Sí")/B19,""))</f>
        <v/>
      </c>
      <c r="G19" s="25" t="str">
        <f>IF(A19="","",IFERROR(SUMIFS('Final presencial'!$K$6:$K$125,'Final presencial'!$A$6:$A$125,A19,'Final presencial'!$T$6:$T$125,"Sí")/B19,""))</f>
        <v/>
      </c>
      <c r="H19" s="25" t="str">
        <f>IF(A19="","",IFERROR(SUMIFS('Final presencial'!$M$6:$M$125,'Final presencial'!$A$6:$A$125,A19,'Final presencial'!$T$6:$T$125,"Sí")/B19,""))</f>
        <v/>
      </c>
      <c r="I19" s="13" t="str">
        <f>IF(A19="","",IF(B19&gt;=Instrucciones!$B38,"Sí","Pendiente"))</f>
        <v/>
      </c>
      <c r="J19" s="13" t="str">
        <f t="shared" si="0"/>
        <v/>
      </c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7"/>
      <c r="B20" s="13" t="str">
        <f>IF(A20="","",COUNTIFS('Final presencial'!$A$6:$A$125,A20,'Final presencial'!$T$6:$T$125,"Sí"))</f>
        <v/>
      </c>
      <c r="C20" s="25" t="str">
        <f>IF(A20="","",IFERROR(SUMIFS('Final presencial'!$O$6:$O$125,'Final presencial'!$A$6:$A$125,A20,'Final presencial'!$T$6:$T$125,"Sí")/B20,""))</f>
        <v/>
      </c>
      <c r="D20" s="25" t="str">
        <f>IF(A20="","",IFERROR(SUMIFS('Final presencial'!$E$6:$E$125,'Final presencial'!$A$6:$A$125,A20,'Final presencial'!$T$6:$T$125,"Sí")/B20,""))</f>
        <v/>
      </c>
      <c r="E20" s="25" t="str">
        <f>IF(A20="","",IFERROR(SUMIFS('Final presencial'!$G$6:$G$125,'Final presencial'!$A$6:$A$125,A20,'Final presencial'!$T$6:$T$125,"Sí")/B20,""))</f>
        <v/>
      </c>
      <c r="F20" s="25" t="str">
        <f>IF(A20="","",IFERROR(SUMIFS('Final presencial'!$I$6:$I$125,'Final presencial'!$A$6:$A$125,A20,'Final presencial'!$T$6:$T$125,"Sí")/B20,""))</f>
        <v/>
      </c>
      <c r="G20" s="25" t="str">
        <f>IF(A20="","",IFERROR(SUMIFS('Final presencial'!$K$6:$K$125,'Final presencial'!$A$6:$A$125,A20,'Final presencial'!$T$6:$T$125,"Sí")/B20,""))</f>
        <v/>
      </c>
      <c r="H20" s="25" t="str">
        <f>IF(A20="","",IFERROR(SUMIFS('Final presencial'!$M$6:$M$125,'Final presencial'!$A$6:$A$125,A20,'Final presencial'!$T$6:$T$125,"Sí")/B20,""))</f>
        <v/>
      </c>
      <c r="I20" s="13" t="str">
        <f>IF(A20="","",IF(B20&gt;=Instrucciones!$B39,"Sí","Pendiente"))</f>
        <v/>
      </c>
      <c r="J20" s="13" t="str">
        <f t="shared" si="0"/>
        <v/>
      </c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7"/>
      <c r="B21" s="13" t="str">
        <f>IF(A21="","",COUNTIFS('Final presencial'!$A$6:$A$125,A21,'Final presencial'!$T$6:$T$125,"Sí"))</f>
        <v/>
      </c>
      <c r="C21" s="25" t="str">
        <f>IF(A21="","",IFERROR(SUMIFS('Final presencial'!$O$6:$O$125,'Final presencial'!$A$6:$A$125,A21,'Final presencial'!$T$6:$T$125,"Sí")/B21,""))</f>
        <v/>
      </c>
      <c r="D21" s="25" t="str">
        <f>IF(A21="","",IFERROR(SUMIFS('Final presencial'!$E$6:$E$125,'Final presencial'!$A$6:$A$125,A21,'Final presencial'!$T$6:$T$125,"Sí")/B21,""))</f>
        <v/>
      </c>
      <c r="E21" s="25" t="str">
        <f>IF(A21="","",IFERROR(SUMIFS('Final presencial'!$G$6:$G$125,'Final presencial'!$A$6:$A$125,A21,'Final presencial'!$T$6:$T$125,"Sí")/B21,""))</f>
        <v/>
      </c>
      <c r="F21" s="25" t="str">
        <f>IF(A21="","",IFERROR(SUMIFS('Final presencial'!$I$6:$I$125,'Final presencial'!$A$6:$A$125,A21,'Final presencial'!$T$6:$T$125,"Sí")/B21,""))</f>
        <v/>
      </c>
      <c r="G21" s="25" t="str">
        <f>IF(A21="","",IFERROR(SUMIFS('Final presencial'!$K$6:$K$125,'Final presencial'!$A$6:$A$125,A21,'Final presencial'!$T$6:$T$125,"Sí")/B21,""))</f>
        <v/>
      </c>
      <c r="H21" s="25" t="str">
        <f>IF(A21="","",IFERROR(SUMIFS('Final presencial'!$M$6:$M$125,'Final presencial'!$A$6:$A$125,A21,'Final presencial'!$T$6:$T$125,"Sí")/B21,""))</f>
        <v/>
      </c>
      <c r="I21" s="13" t="str">
        <f>IF(A21="","",IF(B21&gt;=Instrucciones!$B40,"Sí","Pendiente"))</f>
        <v/>
      </c>
      <c r="J21" s="13" t="str">
        <f t="shared" si="0"/>
        <v/>
      </c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7"/>
      <c r="B22" s="13" t="str">
        <f>IF(A22="","",COUNTIFS('Final presencial'!$A$6:$A$125,A22,'Final presencial'!$T$6:$T$125,"Sí"))</f>
        <v/>
      </c>
      <c r="C22" s="25" t="str">
        <f>IF(A22="","",IFERROR(SUMIFS('Final presencial'!$O$6:$O$125,'Final presencial'!$A$6:$A$125,A22,'Final presencial'!$T$6:$T$125,"Sí")/B22,""))</f>
        <v/>
      </c>
      <c r="D22" s="25" t="str">
        <f>IF(A22="","",IFERROR(SUMIFS('Final presencial'!$E$6:$E$125,'Final presencial'!$A$6:$A$125,A22,'Final presencial'!$T$6:$T$125,"Sí")/B22,""))</f>
        <v/>
      </c>
      <c r="E22" s="25" t="str">
        <f>IF(A22="","",IFERROR(SUMIFS('Final presencial'!$G$6:$G$125,'Final presencial'!$A$6:$A$125,A22,'Final presencial'!$T$6:$T$125,"Sí")/B22,""))</f>
        <v/>
      </c>
      <c r="F22" s="25" t="str">
        <f>IF(A22="","",IFERROR(SUMIFS('Final presencial'!$I$6:$I$125,'Final presencial'!$A$6:$A$125,A22,'Final presencial'!$T$6:$T$125,"Sí")/B22,""))</f>
        <v/>
      </c>
      <c r="G22" s="25" t="str">
        <f>IF(A22="","",IFERROR(SUMIFS('Final presencial'!$K$6:$K$125,'Final presencial'!$A$6:$A$125,A22,'Final presencial'!$T$6:$T$125,"Sí")/B22,""))</f>
        <v/>
      </c>
      <c r="H22" s="25" t="str">
        <f>IF(A22="","",IFERROR(SUMIFS('Final presencial'!$M$6:$M$125,'Final presencial'!$A$6:$A$125,A22,'Final presencial'!$T$6:$T$125,"Sí")/B22,""))</f>
        <v/>
      </c>
      <c r="I22" s="13" t="str">
        <f>IF(A22="","",IF(B22&gt;=Instrucciones!$B41,"Sí","Pendiente"))</f>
        <v/>
      </c>
      <c r="J22" s="13" t="str">
        <f t="shared" si="0"/>
        <v/>
      </c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7"/>
      <c r="B23" s="13" t="str">
        <f>IF(A23="","",COUNTIFS('Final presencial'!$A$6:$A$125,A23,'Final presencial'!$T$6:$T$125,"Sí"))</f>
        <v/>
      </c>
      <c r="C23" s="25" t="str">
        <f>IF(A23="","",IFERROR(SUMIFS('Final presencial'!$O$6:$O$125,'Final presencial'!$A$6:$A$125,A23,'Final presencial'!$T$6:$T$125,"Sí")/B23,""))</f>
        <v/>
      </c>
      <c r="D23" s="25" t="str">
        <f>IF(A23="","",IFERROR(SUMIFS('Final presencial'!$E$6:$E$125,'Final presencial'!$A$6:$A$125,A23,'Final presencial'!$T$6:$T$125,"Sí")/B23,""))</f>
        <v/>
      </c>
      <c r="E23" s="25" t="str">
        <f>IF(A23="","",IFERROR(SUMIFS('Final presencial'!$G$6:$G$125,'Final presencial'!$A$6:$A$125,A23,'Final presencial'!$T$6:$T$125,"Sí")/B23,""))</f>
        <v/>
      </c>
      <c r="F23" s="25" t="str">
        <f>IF(A23="","",IFERROR(SUMIFS('Final presencial'!$I$6:$I$125,'Final presencial'!$A$6:$A$125,A23,'Final presencial'!$T$6:$T$125,"Sí")/B23,""))</f>
        <v/>
      </c>
      <c r="G23" s="25" t="str">
        <f>IF(A23="","",IFERROR(SUMIFS('Final presencial'!$K$6:$K$125,'Final presencial'!$A$6:$A$125,A23,'Final presencial'!$T$6:$T$125,"Sí")/B23,""))</f>
        <v/>
      </c>
      <c r="H23" s="25" t="str">
        <f>IF(A23="","",IFERROR(SUMIFS('Final presencial'!$M$6:$M$125,'Final presencial'!$A$6:$A$125,A23,'Final presencial'!$T$6:$T$125,"Sí")/B23,""))</f>
        <v/>
      </c>
      <c r="I23" s="13" t="str">
        <f>IF(A23="","",IF(B23&gt;=Instrucciones!$B42,"Sí","Pendiente"))</f>
        <v/>
      </c>
      <c r="J23" s="13" t="str">
        <f t="shared" si="0"/>
        <v/>
      </c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7"/>
      <c r="B24" s="13" t="str">
        <f>IF(A24="","",COUNTIFS('Final presencial'!$A$6:$A$125,A24,'Final presencial'!$T$6:$T$125,"Sí"))</f>
        <v/>
      </c>
      <c r="C24" s="25" t="str">
        <f>IF(A24="","",IFERROR(SUMIFS('Final presencial'!$O$6:$O$125,'Final presencial'!$A$6:$A$125,A24,'Final presencial'!$T$6:$T$125,"Sí")/B24,""))</f>
        <v/>
      </c>
      <c r="D24" s="25" t="str">
        <f>IF(A24="","",IFERROR(SUMIFS('Final presencial'!$E$6:$E$125,'Final presencial'!$A$6:$A$125,A24,'Final presencial'!$T$6:$T$125,"Sí")/B24,""))</f>
        <v/>
      </c>
      <c r="E24" s="25" t="str">
        <f>IF(A24="","",IFERROR(SUMIFS('Final presencial'!$G$6:$G$125,'Final presencial'!$A$6:$A$125,A24,'Final presencial'!$T$6:$T$125,"Sí")/B24,""))</f>
        <v/>
      </c>
      <c r="F24" s="25" t="str">
        <f>IF(A24="","",IFERROR(SUMIFS('Final presencial'!$I$6:$I$125,'Final presencial'!$A$6:$A$125,A24,'Final presencial'!$T$6:$T$125,"Sí")/B24,""))</f>
        <v/>
      </c>
      <c r="G24" s="25" t="str">
        <f>IF(A24="","",IFERROR(SUMIFS('Final presencial'!$K$6:$K$125,'Final presencial'!$A$6:$A$125,A24,'Final presencial'!$T$6:$T$125,"Sí")/B24,""))</f>
        <v/>
      </c>
      <c r="H24" s="25" t="str">
        <f>IF(A24="","",IFERROR(SUMIFS('Final presencial'!$M$6:$M$125,'Final presencial'!$A$6:$A$125,A24,'Final presencial'!$T$6:$T$125,"Sí")/B24,""))</f>
        <v/>
      </c>
      <c r="I24" s="13" t="str">
        <f>IF(A24="","",IF(B24&gt;=Instrucciones!$B43,"Sí","Pendiente"))</f>
        <v/>
      </c>
      <c r="J24" s="13" t="str">
        <f t="shared" si="0"/>
        <v/>
      </c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7"/>
      <c r="B25" s="13" t="str">
        <f>IF(A25="","",COUNTIFS('Final presencial'!$A$6:$A$125,A25,'Final presencial'!$T$6:$T$125,"Sí"))</f>
        <v/>
      </c>
      <c r="C25" s="25" t="str">
        <f>IF(A25="","",IFERROR(SUMIFS('Final presencial'!$O$6:$O$125,'Final presencial'!$A$6:$A$125,A25,'Final presencial'!$T$6:$T$125,"Sí")/B25,""))</f>
        <v/>
      </c>
      <c r="D25" s="25" t="str">
        <f>IF(A25="","",IFERROR(SUMIFS('Final presencial'!$E$6:$E$125,'Final presencial'!$A$6:$A$125,A25,'Final presencial'!$T$6:$T$125,"Sí")/B25,""))</f>
        <v/>
      </c>
      <c r="E25" s="25" t="str">
        <f>IF(A25="","",IFERROR(SUMIFS('Final presencial'!$G$6:$G$125,'Final presencial'!$A$6:$A$125,A25,'Final presencial'!$T$6:$T$125,"Sí")/B25,""))</f>
        <v/>
      </c>
      <c r="F25" s="25" t="str">
        <f>IF(A25="","",IFERROR(SUMIFS('Final presencial'!$I$6:$I$125,'Final presencial'!$A$6:$A$125,A25,'Final presencial'!$T$6:$T$125,"Sí")/B25,""))</f>
        <v/>
      </c>
      <c r="G25" s="25" t="str">
        <f>IF(A25="","",IFERROR(SUMIFS('Final presencial'!$K$6:$K$125,'Final presencial'!$A$6:$A$125,A25,'Final presencial'!$T$6:$T$125,"Sí")/B25,""))</f>
        <v/>
      </c>
      <c r="H25" s="25" t="str">
        <f>IF(A25="","",IFERROR(SUMIFS('Final presencial'!$M$6:$M$125,'Final presencial'!$A$6:$A$125,A25,'Final presencial'!$T$6:$T$125,"Sí")/B25,""))</f>
        <v/>
      </c>
      <c r="I25" s="13" t="str">
        <f>IF(A25="","",IF(B25&gt;=Instrucciones!$B44,"Sí","Pendiente"))</f>
        <v/>
      </c>
      <c r="J25" s="13" t="str">
        <f t="shared" si="0"/>
        <v/>
      </c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7"/>
      <c r="B26" s="13" t="str">
        <f>IF(A26="","",COUNTIFS('Final presencial'!$A$6:$A$125,A26,'Final presencial'!$T$6:$T$125,"Sí"))</f>
        <v/>
      </c>
      <c r="C26" s="25" t="str">
        <f>IF(A26="","",IFERROR(SUMIFS('Final presencial'!$O$6:$O$125,'Final presencial'!$A$6:$A$125,A26,'Final presencial'!$T$6:$T$125,"Sí")/B26,""))</f>
        <v/>
      </c>
      <c r="D26" s="25" t="str">
        <f>IF(A26="","",IFERROR(SUMIFS('Final presencial'!$E$6:$E$125,'Final presencial'!$A$6:$A$125,A26,'Final presencial'!$T$6:$T$125,"Sí")/B26,""))</f>
        <v/>
      </c>
      <c r="E26" s="25" t="str">
        <f>IF(A26="","",IFERROR(SUMIFS('Final presencial'!$G$6:$G$125,'Final presencial'!$A$6:$A$125,A26,'Final presencial'!$T$6:$T$125,"Sí")/B26,""))</f>
        <v/>
      </c>
      <c r="F26" s="25" t="str">
        <f>IF(A26="","",IFERROR(SUMIFS('Final presencial'!$I$6:$I$125,'Final presencial'!$A$6:$A$125,A26,'Final presencial'!$T$6:$T$125,"Sí")/B26,""))</f>
        <v/>
      </c>
      <c r="G26" s="25" t="str">
        <f>IF(A26="","",IFERROR(SUMIFS('Final presencial'!$K$6:$K$125,'Final presencial'!$A$6:$A$125,A26,'Final presencial'!$T$6:$T$125,"Sí")/B26,""))</f>
        <v/>
      </c>
      <c r="H26" s="25" t="str">
        <f>IF(A26="","",IFERROR(SUMIFS('Final presencial'!$M$6:$M$125,'Final presencial'!$A$6:$A$125,A26,'Final presencial'!$T$6:$T$125,"Sí")/B26,""))</f>
        <v/>
      </c>
      <c r="I26" s="13" t="str">
        <f>IF(A26="","",IF(B26&gt;=Instrucciones!$B45,"Sí","Pendiente"))</f>
        <v/>
      </c>
      <c r="J26" s="13" t="str">
        <f t="shared" si="0"/>
        <v/>
      </c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7"/>
      <c r="B27" s="13" t="str">
        <f>IF(A27="","",COUNTIFS('Final presencial'!$A$6:$A$125,A27,'Final presencial'!$T$6:$T$125,"Sí"))</f>
        <v/>
      </c>
      <c r="C27" s="25" t="str">
        <f>IF(A27="","",IFERROR(SUMIFS('Final presencial'!$O$6:$O$125,'Final presencial'!$A$6:$A$125,A27,'Final presencial'!$T$6:$T$125,"Sí")/B27,""))</f>
        <v/>
      </c>
      <c r="D27" s="25" t="str">
        <f>IF(A27="","",IFERROR(SUMIFS('Final presencial'!$E$6:$E$125,'Final presencial'!$A$6:$A$125,A27,'Final presencial'!$T$6:$T$125,"Sí")/B27,""))</f>
        <v/>
      </c>
      <c r="E27" s="25" t="str">
        <f>IF(A27="","",IFERROR(SUMIFS('Final presencial'!$G$6:$G$125,'Final presencial'!$A$6:$A$125,A27,'Final presencial'!$T$6:$T$125,"Sí")/B27,""))</f>
        <v/>
      </c>
      <c r="F27" s="25" t="str">
        <f>IF(A27="","",IFERROR(SUMIFS('Final presencial'!$I$6:$I$125,'Final presencial'!$A$6:$A$125,A27,'Final presencial'!$T$6:$T$125,"Sí")/B27,""))</f>
        <v/>
      </c>
      <c r="G27" s="25" t="str">
        <f>IF(A27="","",IFERROR(SUMIFS('Final presencial'!$K$6:$K$125,'Final presencial'!$A$6:$A$125,A27,'Final presencial'!$T$6:$T$125,"Sí")/B27,""))</f>
        <v/>
      </c>
      <c r="H27" s="25" t="str">
        <f>IF(A27="","",IFERROR(SUMIFS('Final presencial'!$M$6:$M$125,'Final presencial'!$A$6:$A$125,A27,'Final presencial'!$T$6:$T$125,"Sí")/B27,""))</f>
        <v/>
      </c>
      <c r="I27" s="13" t="str">
        <f>IF(A27="","",IF(B27&gt;=Instrucciones!$B46,"Sí","Pendiente"))</f>
        <v/>
      </c>
      <c r="J27" s="13" t="str">
        <f t="shared" si="0"/>
        <v/>
      </c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7"/>
      <c r="B28" s="13" t="str">
        <f>IF(A28="","",COUNTIFS('Final presencial'!$A$6:$A$125,A28,'Final presencial'!$T$6:$T$125,"Sí"))</f>
        <v/>
      </c>
      <c r="C28" s="25" t="str">
        <f>IF(A28="","",IFERROR(SUMIFS('Final presencial'!$O$6:$O$125,'Final presencial'!$A$6:$A$125,A28,'Final presencial'!$T$6:$T$125,"Sí")/B28,""))</f>
        <v/>
      </c>
      <c r="D28" s="25" t="str">
        <f>IF(A28="","",IFERROR(SUMIFS('Final presencial'!$E$6:$E$125,'Final presencial'!$A$6:$A$125,A28,'Final presencial'!$T$6:$T$125,"Sí")/B28,""))</f>
        <v/>
      </c>
      <c r="E28" s="25" t="str">
        <f>IF(A28="","",IFERROR(SUMIFS('Final presencial'!$G$6:$G$125,'Final presencial'!$A$6:$A$125,A28,'Final presencial'!$T$6:$T$125,"Sí")/B28,""))</f>
        <v/>
      </c>
      <c r="F28" s="25" t="str">
        <f>IF(A28="","",IFERROR(SUMIFS('Final presencial'!$I$6:$I$125,'Final presencial'!$A$6:$A$125,A28,'Final presencial'!$T$6:$T$125,"Sí")/B28,""))</f>
        <v/>
      </c>
      <c r="G28" s="25" t="str">
        <f>IF(A28="","",IFERROR(SUMIFS('Final presencial'!$K$6:$K$125,'Final presencial'!$A$6:$A$125,A28,'Final presencial'!$T$6:$T$125,"Sí")/B28,""))</f>
        <v/>
      </c>
      <c r="H28" s="25" t="str">
        <f>IF(A28="","",IFERROR(SUMIFS('Final presencial'!$M$6:$M$125,'Final presencial'!$A$6:$A$125,A28,'Final presencial'!$T$6:$T$125,"Sí")/B28,""))</f>
        <v/>
      </c>
      <c r="I28" s="13" t="str">
        <f>IF(A28="","",IF(B28&gt;=Instrucciones!$B47,"Sí","Pendiente"))</f>
        <v/>
      </c>
      <c r="J28" s="13" t="str">
        <f t="shared" si="0"/>
        <v/>
      </c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7"/>
      <c r="B29" s="13" t="str">
        <f>IF(A29="","",COUNTIFS('Final presencial'!$A$6:$A$125,A29,'Final presencial'!$T$6:$T$125,"Sí"))</f>
        <v/>
      </c>
      <c r="C29" s="25" t="str">
        <f>IF(A29="","",IFERROR(SUMIFS('Final presencial'!$O$6:$O$125,'Final presencial'!$A$6:$A$125,A29,'Final presencial'!$T$6:$T$125,"Sí")/B29,""))</f>
        <v/>
      </c>
      <c r="D29" s="25" t="str">
        <f>IF(A29="","",IFERROR(SUMIFS('Final presencial'!$E$6:$E$125,'Final presencial'!$A$6:$A$125,A29,'Final presencial'!$T$6:$T$125,"Sí")/B29,""))</f>
        <v/>
      </c>
      <c r="E29" s="25" t="str">
        <f>IF(A29="","",IFERROR(SUMIFS('Final presencial'!$G$6:$G$125,'Final presencial'!$A$6:$A$125,A29,'Final presencial'!$T$6:$T$125,"Sí")/B29,""))</f>
        <v/>
      </c>
      <c r="F29" s="25" t="str">
        <f>IF(A29="","",IFERROR(SUMIFS('Final presencial'!$I$6:$I$125,'Final presencial'!$A$6:$A$125,A29,'Final presencial'!$T$6:$T$125,"Sí")/B29,""))</f>
        <v/>
      </c>
      <c r="G29" s="25" t="str">
        <f>IF(A29="","",IFERROR(SUMIFS('Final presencial'!$K$6:$K$125,'Final presencial'!$A$6:$A$125,A29,'Final presencial'!$T$6:$T$125,"Sí")/B29,""))</f>
        <v/>
      </c>
      <c r="H29" s="25" t="str">
        <f>IF(A29="","",IFERROR(SUMIFS('Final presencial'!$M$6:$M$125,'Final presencial'!$A$6:$A$125,A29,'Final presencial'!$T$6:$T$125,"Sí")/B29,""))</f>
        <v/>
      </c>
      <c r="I29" s="13" t="str">
        <f>IF(A29="","",IF(B29&gt;=Instrucciones!$B48,"Sí","Pendiente"))</f>
        <v/>
      </c>
      <c r="J29" s="13" t="str">
        <f t="shared" si="0"/>
        <v/>
      </c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7"/>
      <c r="B30" s="13" t="str">
        <f>IF(A30="","",COUNTIFS('Final presencial'!$A$6:$A$125,A30,'Final presencial'!$T$6:$T$125,"Sí"))</f>
        <v/>
      </c>
      <c r="C30" s="25" t="str">
        <f>IF(A30="","",IFERROR(SUMIFS('Final presencial'!$O$6:$O$125,'Final presencial'!$A$6:$A$125,A30,'Final presencial'!$T$6:$T$125,"Sí")/B30,""))</f>
        <v/>
      </c>
      <c r="D30" s="25" t="str">
        <f>IF(A30="","",IFERROR(SUMIFS('Final presencial'!$E$6:$E$125,'Final presencial'!$A$6:$A$125,A30,'Final presencial'!$T$6:$T$125,"Sí")/B30,""))</f>
        <v/>
      </c>
      <c r="E30" s="25" t="str">
        <f>IF(A30="","",IFERROR(SUMIFS('Final presencial'!$G$6:$G$125,'Final presencial'!$A$6:$A$125,A30,'Final presencial'!$T$6:$T$125,"Sí")/B30,""))</f>
        <v/>
      </c>
      <c r="F30" s="25" t="str">
        <f>IF(A30="","",IFERROR(SUMIFS('Final presencial'!$I$6:$I$125,'Final presencial'!$A$6:$A$125,A30,'Final presencial'!$T$6:$T$125,"Sí")/B30,""))</f>
        <v/>
      </c>
      <c r="G30" s="25" t="str">
        <f>IF(A30="","",IFERROR(SUMIFS('Final presencial'!$K$6:$K$125,'Final presencial'!$A$6:$A$125,A30,'Final presencial'!$T$6:$T$125,"Sí")/B30,""))</f>
        <v/>
      </c>
      <c r="H30" s="25" t="str">
        <f>IF(A30="","",IFERROR(SUMIFS('Final presencial'!$M$6:$M$125,'Final presencial'!$A$6:$A$125,A30,'Final presencial'!$T$6:$T$125,"Sí")/B30,""))</f>
        <v/>
      </c>
      <c r="I30" s="13" t="str">
        <f>IF(A30="","",IF(B30&gt;=Instrucciones!$B49,"Sí","Pendiente"))</f>
        <v/>
      </c>
      <c r="J30" s="13" t="str">
        <f t="shared" si="0"/>
        <v/>
      </c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7"/>
      <c r="B31" s="13" t="str">
        <f>IF(A31="","",COUNTIFS('Final presencial'!$A$6:$A$125,A31,'Final presencial'!$T$6:$T$125,"Sí"))</f>
        <v/>
      </c>
      <c r="C31" s="25" t="str">
        <f>IF(A31="","",IFERROR(SUMIFS('Final presencial'!$O$6:$O$125,'Final presencial'!$A$6:$A$125,A31,'Final presencial'!$T$6:$T$125,"Sí")/B31,""))</f>
        <v/>
      </c>
      <c r="D31" s="25" t="str">
        <f>IF(A31="","",IFERROR(SUMIFS('Final presencial'!$E$6:$E$125,'Final presencial'!$A$6:$A$125,A31,'Final presencial'!$T$6:$T$125,"Sí")/B31,""))</f>
        <v/>
      </c>
      <c r="E31" s="25" t="str">
        <f>IF(A31="","",IFERROR(SUMIFS('Final presencial'!$G$6:$G$125,'Final presencial'!$A$6:$A$125,A31,'Final presencial'!$T$6:$T$125,"Sí")/B31,""))</f>
        <v/>
      </c>
      <c r="F31" s="25" t="str">
        <f>IF(A31="","",IFERROR(SUMIFS('Final presencial'!$I$6:$I$125,'Final presencial'!$A$6:$A$125,A31,'Final presencial'!$T$6:$T$125,"Sí")/B31,""))</f>
        <v/>
      </c>
      <c r="G31" s="25" t="str">
        <f>IF(A31="","",IFERROR(SUMIFS('Final presencial'!$K$6:$K$125,'Final presencial'!$A$6:$A$125,A31,'Final presencial'!$T$6:$T$125,"Sí")/B31,""))</f>
        <v/>
      </c>
      <c r="H31" s="25" t="str">
        <f>IF(A31="","",IFERROR(SUMIFS('Final presencial'!$M$6:$M$125,'Final presencial'!$A$6:$A$125,A31,'Final presencial'!$T$6:$T$125,"Sí")/B31,""))</f>
        <v/>
      </c>
      <c r="I31" s="13" t="str">
        <f>IF(A31="","",IF(B31&gt;=Instrucciones!$B50,"Sí","Pendiente"))</f>
        <v/>
      </c>
      <c r="J31" s="13" t="str">
        <f t="shared" si="0"/>
        <v/>
      </c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7"/>
      <c r="B32" s="13" t="str">
        <f>IF(A32="","",COUNTIFS('Final presencial'!$A$6:$A$125,A32,'Final presencial'!$T$6:$T$125,"Sí"))</f>
        <v/>
      </c>
      <c r="C32" s="25" t="str">
        <f>IF(A32="","",IFERROR(SUMIFS('Final presencial'!$O$6:$O$125,'Final presencial'!$A$6:$A$125,A32,'Final presencial'!$T$6:$T$125,"Sí")/B32,""))</f>
        <v/>
      </c>
      <c r="D32" s="25" t="str">
        <f>IF(A32="","",IFERROR(SUMIFS('Final presencial'!$E$6:$E$125,'Final presencial'!$A$6:$A$125,A32,'Final presencial'!$T$6:$T$125,"Sí")/B32,""))</f>
        <v/>
      </c>
      <c r="E32" s="25" t="str">
        <f>IF(A32="","",IFERROR(SUMIFS('Final presencial'!$G$6:$G$125,'Final presencial'!$A$6:$A$125,A32,'Final presencial'!$T$6:$T$125,"Sí")/B32,""))</f>
        <v/>
      </c>
      <c r="F32" s="25" t="str">
        <f>IF(A32="","",IFERROR(SUMIFS('Final presencial'!$I$6:$I$125,'Final presencial'!$A$6:$A$125,A32,'Final presencial'!$T$6:$T$125,"Sí")/B32,""))</f>
        <v/>
      </c>
      <c r="G32" s="25" t="str">
        <f>IF(A32="","",IFERROR(SUMIFS('Final presencial'!$K$6:$K$125,'Final presencial'!$A$6:$A$125,A32,'Final presencial'!$T$6:$T$125,"Sí")/B32,""))</f>
        <v/>
      </c>
      <c r="H32" s="25" t="str">
        <f>IF(A32="","",IFERROR(SUMIFS('Final presencial'!$M$6:$M$125,'Final presencial'!$A$6:$A$125,A32,'Final presencial'!$T$6:$T$125,"Sí")/B32,""))</f>
        <v/>
      </c>
      <c r="I32" s="13" t="str">
        <f>IF(A32="","",IF(B32&gt;=Instrucciones!$B51,"Sí","Pendiente"))</f>
        <v/>
      </c>
      <c r="J32" s="13" t="str">
        <f t="shared" si="0"/>
        <v/>
      </c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7"/>
      <c r="B33" s="13" t="str">
        <f>IF(A33="","",COUNTIFS('Final presencial'!$A$6:$A$125,A33,'Final presencial'!$T$6:$T$125,"Sí"))</f>
        <v/>
      </c>
      <c r="C33" s="25" t="str">
        <f>IF(A33="","",IFERROR(SUMIFS('Final presencial'!$O$6:$O$125,'Final presencial'!$A$6:$A$125,A33,'Final presencial'!$T$6:$T$125,"Sí")/B33,""))</f>
        <v/>
      </c>
      <c r="D33" s="25" t="str">
        <f>IF(A33="","",IFERROR(SUMIFS('Final presencial'!$E$6:$E$125,'Final presencial'!$A$6:$A$125,A33,'Final presencial'!$T$6:$T$125,"Sí")/B33,""))</f>
        <v/>
      </c>
      <c r="E33" s="25" t="str">
        <f>IF(A33="","",IFERROR(SUMIFS('Final presencial'!$G$6:$G$125,'Final presencial'!$A$6:$A$125,A33,'Final presencial'!$T$6:$T$125,"Sí")/B33,""))</f>
        <v/>
      </c>
      <c r="F33" s="25" t="str">
        <f>IF(A33="","",IFERROR(SUMIFS('Final presencial'!$I$6:$I$125,'Final presencial'!$A$6:$A$125,A33,'Final presencial'!$T$6:$T$125,"Sí")/B33,""))</f>
        <v/>
      </c>
      <c r="G33" s="25" t="str">
        <f>IF(A33="","",IFERROR(SUMIFS('Final presencial'!$K$6:$K$125,'Final presencial'!$A$6:$A$125,A33,'Final presencial'!$T$6:$T$125,"Sí")/B33,""))</f>
        <v/>
      </c>
      <c r="H33" s="25" t="str">
        <f>IF(A33="","",IFERROR(SUMIFS('Final presencial'!$M$6:$M$125,'Final presencial'!$A$6:$A$125,A33,'Final presencial'!$T$6:$T$125,"Sí")/B33,""))</f>
        <v/>
      </c>
      <c r="I33" s="13" t="str">
        <f>IF(A33="","",IF(B33&gt;=Instrucciones!$B52,"Sí","Pendiente"))</f>
        <v/>
      </c>
      <c r="J33" s="13" t="str">
        <f t="shared" si="0"/>
        <v/>
      </c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7"/>
      <c r="B34" s="13" t="str">
        <f>IF(A34="","",COUNTIFS('Final presencial'!$A$6:$A$125,A34,'Final presencial'!$T$6:$T$125,"Sí"))</f>
        <v/>
      </c>
      <c r="C34" s="25" t="str">
        <f>IF(A34="","",IFERROR(SUMIFS('Final presencial'!$O$6:$O$125,'Final presencial'!$A$6:$A$125,A34,'Final presencial'!$T$6:$T$125,"Sí")/B34,""))</f>
        <v/>
      </c>
      <c r="D34" s="25" t="str">
        <f>IF(A34="","",IFERROR(SUMIFS('Final presencial'!$E$6:$E$125,'Final presencial'!$A$6:$A$125,A34,'Final presencial'!$T$6:$T$125,"Sí")/B34,""))</f>
        <v/>
      </c>
      <c r="E34" s="25" t="str">
        <f>IF(A34="","",IFERROR(SUMIFS('Final presencial'!$G$6:$G$125,'Final presencial'!$A$6:$A$125,A34,'Final presencial'!$T$6:$T$125,"Sí")/B34,""))</f>
        <v/>
      </c>
      <c r="F34" s="25" t="str">
        <f>IF(A34="","",IFERROR(SUMIFS('Final presencial'!$I$6:$I$125,'Final presencial'!$A$6:$A$125,A34,'Final presencial'!$T$6:$T$125,"Sí")/B34,""))</f>
        <v/>
      </c>
      <c r="G34" s="25" t="str">
        <f>IF(A34="","",IFERROR(SUMIFS('Final presencial'!$K$6:$K$125,'Final presencial'!$A$6:$A$125,A34,'Final presencial'!$T$6:$T$125,"Sí")/B34,""))</f>
        <v/>
      </c>
      <c r="H34" s="25" t="str">
        <f>IF(A34="","",IFERROR(SUMIFS('Final presencial'!$M$6:$M$125,'Final presencial'!$A$6:$A$125,A34,'Final presencial'!$T$6:$T$125,"Sí")/B34,""))</f>
        <v/>
      </c>
      <c r="I34" s="13" t="str">
        <f>IF(A34="","",IF(B34&gt;=Instrucciones!$B53,"Sí","Pendiente"))</f>
        <v/>
      </c>
      <c r="J34" s="13" t="str">
        <f t="shared" si="0"/>
        <v/>
      </c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7"/>
      <c r="B35" s="13" t="str">
        <f>IF(A35="","",COUNTIFS('Final presencial'!$A$6:$A$125,A35,'Final presencial'!$T$6:$T$125,"Sí"))</f>
        <v/>
      </c>
      <c r="C35" s="25" t="str">
        <f>IF(A35="","",IFERROR(SUMIFS('Final presencial'!$O$6:$O$125,'Final presencial'!$A$6:$A$125,A35,'Final presencial'!$T$6:$T$125,"Sí")/B35,""))</f>
        <v/>
      </c>
      <c r="D35" s="25" t="str">
        <f>IF(A35="","",IFERROR(SUMIFS('Final presencial'!$E$6:$E$125,'Final presencial'!$A$6:$A$125,A35,'Final presencial'!$T$6:$T$125,"Sí")/B35,""))</f>
        <v/>
      </c>
      <c r="E35" s="25" t="str">
        <f>IF(A35="","",IFERROR(SUMIFS('Final presencial'!$G$6:$G$125,'Final presencial'!$A$6:$A$125,A35,'Final presencial'!$T$6:$T$125,"Sí")/B35,""))</f>
        <v/>
      </c>
      <c r="F35" s="25" t="str">
        <f>IF(A35="","",IFERROR(SUMIFS('Final presencial'!$I$6:$I$125,'Final presencial'!$A$6:$A$125,A35,'Final presencial'!$T$6:$T$125,"Sí")/B35,""))</f>
        <v/>
      </c>
      <c r="G35" s="25" t="str">
        <f>IF(A35="","",IFERROR(SUMIFS('Final presencial'!$K$6:$K$125,'Final presencial'!$A$6:$A$125,A35,'Final presencial'!$T$6:$T$125,"Sí")/B35,""))</f>
        <v/>
      </c>
      <c r="H35" s="25" t="str">
        <f>IF(A35="","",IFERROR(SUMIFS('Final presencial'!$M$6:$M$125,'Final presencial'!$A$6:$A$125,A35,'Final presencial'!$T$6:$T$125,"Sí")/B35,""))</f>
        <v/>
      </c>
      <c r="I35" s="13" t="str">
        <f>IF(A35="","",IF(B35&gt;=Instrucciones!$B54,"Sí","Pendiente"))</f>
        <v/>
      </c>
      <c r="J35" s="13" t="str">
        <f t="shared" si="0"/>
        <v/>
      </c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7"/>
      <c r="B36" s="13" t="str">
        <f>IF(A36="","",COUNTIFS('Final presencial'!$A$6:$A$125,A36,'Final presencial'!$T$6:$T$125,"Sí"))</f>
        <v/>
      </c>
      <c r="C36" s="25" t="str">
        <f>IF(A36="","",IFERROR(SUMIFS('Final presencial'!$O$6:$O$125,'Final presencial'!$A$6:$A$125,A36,'Final presencial'!$T$6:$T$125,"Sí")/B36,""))</f>
        <v/>
      </c>
      <c r="D36" s="25" t="str">
        <f>IF(A36="","",IFERROR(SUMIFS('Final presencial'!$E$6:$E$125,'Final presencial'!$A$6:$A$125,A36,'Final presencial'!$T$6:$T$125,"Sí")/B36,""))</f>
        <v/>
      </c>
      <c r="E36" s="25" t="str">
        <f>IF(A36="","",IFERROR(SUMIFS('Final presencial'!$G$6:$G$125,'Final presencial'!$A$6:$A$125,A36,'Final presencial'!$T$6:$T$125,"Sí")/B36,""))</f>
        <v/>
      </c>
      <c r="F36" s="25" t="str">
        <f>IF(A36="","",IFERROR(SUMIFS('Final presencial'!$I$6:$I$125,'Final presencial'!$A$6:$A$125,A36,'Final presencial'!$T$6:$T$125,"Sí")/B36,""))</f>
        <v/>
      </c>
      <c r="G36" s="25" t="str">
        <f>IF(A36="","",IFERROR(SUMIFS('Final presencial'!$K$6:$K$125,'Final presencial'!$A$6:$A$125,A36,'Final presencial'!$T$6:$T$125,"Sí")/B36,""))</f>
        <v/>
      </c>
      <c r="H36" s="25" t="str">
        <f>IF(A36="","",IFERROR(SUMIFS('Final presencial'!$M$6:$M$125,'Final presencial'!$A$6:$A$125,A36,'Final presencial'!$T$6:$T$125,"Sí")/B36,""))</f>
        <v/>
      </c>
      <c r="I36" s="13" t="str">
        <f>IF(A36="","",IF(B36&gt;=Instrucciones!$B55,"Sí","Pendiente"))</f>
        <v/>
      </c>
      <c r="J36" s="13" t="str">
        <f t="shared" si="0"/>
        <v/>
      </c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7"/>
      <c r="B37" s="13" t="str">
        <f>IF(A37="","",COUNTIFS('Final presencial'!$A$6:$A$125,A37,'Final presencial'!$T$6:$T$125,"Sí"))</f>
        <v/>
      </c>
      <c r="C37" s="25" t="str">
        <f>IF(A37="","",IFERROR(SUMIFS('Final presencial'!$O$6:$O$125,'Final presencial'!$A$6:$A$125,A37,'Final presencial'!$T$6:$T$125,"Sí")/B37,""))</f>
        <v/>
      </c>
      <c r="D37" s="25" t="str">
        <f>IF(A37="","",IFERROR(SUMIFS('Final presencial'!$E$6:$E$125,'Final presencial'!$A$6:$A$125,A37,'Final presencial'!$T$6:$T$125,"Sí")/B37,""))</f>
        <v/>
      </c>
      <c r="E37" s="25" t="str">
        <f>IF(A37="","",IFERROR(SUMIFS('Final presencial'!$G$6:$G$125,'Final presencial'!$A$6:$A$125,A37,'Final presencial'!$T$6:$T$125,"Sí")/B37,""))</f>
        <v/>
      </c>
      <c r="F37" s="25" t="str">
        <f>IF(A37="","",IFERROR(SUMIFS('Final presencial'!$I$6:$I$125,'Final presencial'!$A$6:$A$125,A37,'Final presencial'!$T$6:$T$125,"Sí")/B37,""))</f>
        <v/>
      </c>
      <c r="G37" s="25" t="str">
        <f>IF(A37="","",IFERROR(SUMIFS('Final presencial'!$K$6:$K$125,'Final presencial'!$A$6:$A$125,A37,'Final presencial'!$T$6:$T$125,"Sí")/B37,""))</f>
        <v/>
      </c>
      <c r="H37" s="25" t="str">
        <f>IF(A37="","",IFERROR(SUMIFS('Final presencial'!$M$6:$M$125,'Final presencial'!$A$6:$A$125,A37,'Final presencial'!$T$6:$T$125,"Sí")/B37,""))</f>
        <v/>
      </c>
      <c r="I37" s="13" t="str">
        <f>IF(A37="","",IF(B37&gt;=Instrucciones!$B56,"Sí","Pendiente"))</f>
        <v/>
      </c>
      <c r="J37" s="13" t="str">
        <f t="shared" si="0"/>
        <v/>
      </c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7"/>
      <c r="B38" s="13" t="str">
        <f>IF(A38="","",COUNTIFS('Final presencial'!$A$6:$A$125,A38,'Final presencial'!$T$6:$T$125,"Sí"))</f>
        <v/>
      </c>
      <c r="C38" s="25" t="str">
        <f>IF(A38="","",IFERROR(SUMIFS('Final presencial'!$O$6:$O$125,'Final presencial'!$A$6:$A$125,A38,'Final presencial'!$T$6:$T$125,"Sí")/B38,""))</f>
        <v/>
      </c>
      <c r="D38" s="25" t="str">
        <f>IF(A38="","",IFERROR(SUMIFS('Final presencial'!$E$6:$E$125,'Final presencial'!$A$6:$A$125,A38,'Final presencial'!$T$6:$T$125,"Sí")/B38,""))</f>
        <v/>
      </c>
      <c r="E38" s="25" t="str">
        <f>IF(A38="","",IFERROR(SUMIFS('Final presencial'!$G$6:$G$125,'Final presencial'!$A$6:$A$125,A38,'Final presencial'!$T$6:$T$125,"Sí")/B38,""))</f>
        <v/>
      </c>
      <c r="F38" s="25" t="str">
        <f>IF(A38="","",IFERROR(SUMIFS('Final presencial'!$I$6:$I$125,'Final presencial'!$A$6:$A$125,A38,'Final presencial'!$T$6:$T$125,"Sí")/B38,""))</f>
        <v/>
      </c>
      <c r="G38" s="25" t="str">
        <f>IF(A38="","",IFERROR(SUMIFS('Final presencial'!$K$6:$K$125,'Final presencial'!$A$6:$A$125,A38,'Final presencial'!$T$6:$T$125,"Sí")/B38,""))</f>
        <v/>
      </c>
      <c r="H38" s="25" t="str">
        <f>IF(A38="","",IFERROR(SUMIFS('Final presencial'!$M$6:$M$125,'Final presencial'!$A$6:$A$125,A38,'Final presencial'!$T$6:$T$125,"Sí")/B38,""))</f>
        <v/>
      </c>
      <c r="I38" s="13" t="str">
        <f>IF(A38="","",IF(B38&gt;=Instrucciones!$B57,"Sí","Pendiente"))</f>
        <v/>
      </c>
      <c r="J38" s="13" t="str">
        <f t="shared" ref="J38:J65" si="1">IF(C38="","",RANK(C38,$C$6:$C$65,0))</f>
        <v/>
      </c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7"/>
      <c r="B39" s="13" t="str">
        <f>IF(A39="","",COUNTIFS('Final presencial'!$A$6:$A$125,A39,'Final presencial'!$T$6:$T$125,"Sí"))</f>
        <v/>
      </c>
      <c r="C39" s="25" t="str">
        <f>IF(A39="","",IFERROR(SUMIFS('Final presencial'!$O$6:$O$125,'Final presencial'!$A$6:$A$125,A39,'Final presencial'!$T$6:$T$125,"Sí")/B39,""))</f>
        <v/>
      </c>
      <c r="D39" s="25" t="str">
        <f>IF(A39="","",IFERROR(SUMIFS('Final presencial'!$E$6:$E$125,'Final presencial'!$A$6:$A$125,A39,'Final presencial'!$T$6:$T$125,"Sí")/B39,""))</f>
        <v/>
      </c>
      <c r="E39" s="25" t="str">
        <f>IF(A39="","",IFERROR(SUMIFS('Final presencial'!$G$6:$G$125,'Final presencial'!$A$6:$A$125,A39,'Final presencial'!$T$6:$T$125,"Sí")/B39,""))</f>
        <v/>
      </c>
      <c r="F39" s="25" t="str">
        <f>IF(A39="","",IFERROR(SUMIFS('Final presencial'!$I$6:$I$125,'Final presencial'!$A$6:$A$125,A39,'Final presencial'!$T$6:$T$125,"Sí")/B39,""))</f>
        <v/>
      </c>
      <c r="G39" s="25" t="str">
        <f>IF(A39="","",IFERROR(SUMIFS('Final presencial'!$K$6:$K$125,'Final presencial'!$A$6:$A$125,A39,'Final presencial'!$T$6:$T$125,"Sí")/B39,""))</f>
        <v/>
      </c>
      <c r="H39" s="25" t="str">
        <f>IF(A39="","",IFERROR(SUMIFS('Final presencial'!$M$6:$M$125,'Final presencial'!$A$6:$A$125,A39,'Final presencial'!$T$6:$T$125,"Sí")/B39,""))</f>
        <v/>
      </c>
      <c r="I39" s="13" t="str">
        <f>IF(A39="","",IF(B39&gt;=Instrucciones!$B58,"Sí","Pendiente"))</f>
        <v/>
      </c>
      <c r="J39" s="13" t="str">
        <f t="shared" si="1"/>
        <v/>
      </c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7"/>
      <c r="B40" s="13" t="str">
        <f>IF(A40="","",COUNTIFS('Final presencial'!$A$6:$A$125,A40,'Final presencial'!$T$6:$T$125,"Sí"))</f>
        <v/>
      </c>
      <c r="C40" s="25" t="str">
        <f>IF(A40="","",IFERROR(SUMIFS('Final presencial'!$O$6:$O$125,'Final presencial'!$A$6:$A$125,A40,'Final presencial'!$T$6:$T$125,"Sí")/B40,""))</f>
        <v/>
      </c>
      <c r="D40" s="25" t="str">
        <f>IF(A40="","",IFERROR(SUMIFS('Final presencial'!$E$6:$E$125,'Final presencial'!$A$6:$A$125,A40,'Final presencial'!$T$6:$T$125,"Sí")/B40,""))</f>
        <v/>
      </c>
      <c r="E40" s="25" t="str">
        <f>IF(A40="","",IFERROR(SUMIFS('Final presencial'!$G$6:$G$125,'Final presencial'!$A$6:$A$125,A40,'Final presencial'!$T$6:$T$125,"Sí")/B40,""))</f>
        <v/>
      </c>
      <c r="F40" s="25" t="str">
        <f>IF(A40="","",IFERROR(SUMIFS('Final presencial'!$I$6:$I$125,'Final presencial'!$A$6:$A$125,A40,'Final presencial'!$T$6:$T$125,"Sí")/B40,""))</f>
        <v/>
      </c>
      <c r="G40" s="25" t="str">
        <f>IF(A40="","",IFERROR(SUMIFS('Final presencial'!$K$6:$K$125,'Final presencial'!$A$6:$A$125,A40,'Final presencial'!$T$6:$T$125,"Sí")/B40,""))</f>
        <v/>
      </c>
      <c r="H40" s="25" t="str">
        <f>IF(A40="","",IFERROR(SUMIFS('Final presencial'!$M$6:$M$125,'Final presencial'!$A$6:$A$125,A40,'Final presencial'!$T$6:$T$125,"Sí")/B40,""))</f>
        <v/>
      </c>
      <c r="I40" s="13" t="str">
        <f>IF(A40="","",IF(B40&gt;=Instrucciones!$B59,"Sí","Pendiente"))</f>
        <v/>
      </c>
      <c r="J40" s="13" t="str">
        <f t="shared" si="1"/>
        <v/>
      </c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7"/>
      <c r="B41" s="13" t="str">
        <f>IF(A41="","",COUNTIFS('Final presencial'!$A$6:$A$125,A41,'Final presencial'!$T$6:$T$125,"Sí"))</f>
        <v/>
      </c>
      <c r="C41" s="25" t="str">
        <f>IF(A41="","",IFERROR(SUMIFS('Final presencial'!$O$6:$O$125,'Final presencial'!$A$6:$A$125,A41,'Final presencial'!$T$6:$T$125,"Sí")/B41,""))</f>
        <v/>
      </c>
      <c r="D41" s="25" t="str">
        <f>IF(A41="","",IFERROR(SUMIFS('Final presencial'!$E$6:$E$125,'Final presencial'!$A$6:$A$125,A41,'Final presencial'!$T$6:$T$125,"Sí")/B41,""))</f>
        <v/>
      </c>
      <c r="E41" s="25" t="str">
        <f>IF(A41="","",IFERROR(SUMIFS('Final presencial'!$G$6:$G$125,'Final presencial'!$A$6:$A$125,A41,'Final presencial'!$T$6:$T$125,"Sí")/B41,""))</f>
        <v/>
      </c>
      <c r="F41" s="25" t="str">
        <f>IF(A41="","",IFERROR(SUMIFS('Final presencial'!$I$6:$I$125,'Final presencial'!$A$6:$A$125,A41,'Final presencial'!$T$6:$T$125,"Sí")/B41,""))</f>
        <v/>
      </c>
      <c r="G41" s="25" t="str">
        <f>IF(A41="","",IFERROR(SUMIFS('Final presencial'!$K$6:$K$125,'Final presencial'!$A$6:$A$125,A41,'Final presencial'!$T$6:$T$125,"Sí")/B41,""))</f>
        <v/>
      </c>
      <c r="H41" s="25" t="str">
        <f>IF(A41="","",IFERROR(SUMIFS('Final presencial'!$M$6:$M$125,'Final presencial'!$A$6:$A$125,A41,'Final presencial'!$T$6:$T$125,"Sí")/B41,""))</f>
        <v/>
      </c>
      <c r="I41" s="13" t="str">
        <f>IF(A41="","",IF(B41&gt;=Instrucciones!$B60,"Sí","Pendiente"))</f>
        <v/>
      </c>
      <c r="J41" s="13" t="str">
        <f t="shared" si="1"/>
        <v/>
      </c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7"/>
      <c r="B42" s="13" t="str">
        <f>IF(A42="","",COUNTIFS('Final presencial'!$A$6:$A$125,A42,'Final presencial'!$T$6:$T$125,"Sí"))</f>
        <v/>
      </c>
      <c r="C42" s="25" t="str">
        <f>IF(A42="","",IFERROR(SUMIFS('Final presencial'!$O$6:$O$125,'Final presencial'!$A$6:$A$125,A42,'Final presencial'!$T$6:$T$125,"Sí")/B42,""))</f>
        <v/>
      </c>
      <c r="D42" s="25" t="str">
        <f>IF(A42="","",IFERROR(SUMIFS('Final presencial'!$E$6:$E$125,'Final presencial'!$A$6:$A$125,A42,'Final presencial'!$T$6:$T$125,"Sí")/B42,""))</f>
        <v/>
      </c>
      <c r="E42" s="25" t="str">
        <f>IF(A42="","",IFERROR(SUMIFS('Final presencial'!$G$6:$G$125,'Final presencial'!$A$6:$A$125,A42,'Final presencial'!$T$6:$T$125,"Sí")/B42,""))</f>
        <v/>
      </c>
      <c r="F42" s="25" t="str">
        <f>IF(A42="","",IFERROR(SUMIFS('Final presencial'!$I$6:$I$125,'Final presencial'!$A$6:$A$125,A42,'Final presencial'!$T$6:$T$125,"Sí")/B42,""))</f>
        <v/>
      </c>
      <c r="G42" s="25" t="str">
        <f>IF(A42="","",IFERROR(SUMIFS('Final presencial'!$K$6:$K$125,'Final presencial'!$A$6:$A$125,A42,'Final presencial'!$T$6:$T$125,"Sí")/B42,""))</f>
        <v/>
      </c>
      <c r="H42" s="25" t="str">
        <f>IF(A42="","",IFERROR(SUMIFS('Final presencial'!$M$6:$M$125,'Final presencial'!$A$6:$A$125,A42,'Final presencial'!$T$6:$T$125,"Sí")/B42,""))</f>
        <v/>
      </c>
      <c r="I42" s="13" t="str">
        <f>IF(A42="","",IF(B42&gt;=Instrucciones!$B61,"Sí","Pendiente"))</f>
        <v/>
      </c>
      <c r="J42" s="13" t="str">
        <f t="shared" si="1"/>
        <v/>
      </c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7"/>
      <c r="B43" s="13" t="str">
        <f>IF(A43="","",COUNTIFS('Final presencial'!$A$6:$A$125,A43,'Final presencial'!$T$6:$T$125,"Sí"))</f>
        <v/>
      </c>
      <c r="C43" s="25" t="str">
        <f>IF(A43="","",IFERROR(SUMIFS('Final presencial'!$O$6:$O$125,'Final presencial'!$A$6:$A$125,A43,'Final presencial'!$T$6:$T$125,"Sí")/B43,""))</f>
        <v/>
      </c>
      <c r="D43" s="25" t="str">
        <f>IF(A43="","",IFERROR(SUMIFS('Final presencial'!$E$6:$E$125,'Final presencial'!$A$6:$A$125,A43,'Final presencial'!$T$6:$T$125,"Sí")/B43,""))</f>
        <v/>
      </c>
      <c r="E43" s="25" t="str">
        <f>IF(A43="","",IFERROR(SUMIFS('Final presencial'!$G$6:$G$125,'Final presencial'!$A$6:$A$125,A43,'Final presencial'!$T$6:$T$125,"Sí")/B43,""))</f>
        <v/>
      </c>
      <c r="F43" s="25" t="str">
        <f>IF(A43="","",IFERROR(SUMIFS('Final presencial'!$I$6:$I$125,'Final presencial'!$A$6:$A$125,A43,'Final presencial'!$T$6:$T$125,"Sí")/B43,""))</f>
        <v/>
      </c>
      <c r="G43" s="25" t="str">
        <f>IF(A43="","",IFERROR(SUMIFS('Final presencial'!$K$6:$K$125,'Final presencial'!$A$6:$A$125,A43,'Final presencial'!$T$6:$T$125,"Sí")/B43,""))</f>
        <v/>
      </c>
      <c r="H43" s="25" t="str">
        <f>IF(A43="","",IFERROR(SUMIFS('Final presencial'!$M$6:$M$125,'Final presencial'!$A$6:$A$125,A43,'Final presencial'!$T$6:$T$125,"Sí")/B43,""))</f>
        <v/>
      </c>
      <c r="I43" s="13" t="str">
        <f>IF(A43="","",IF(B43&gt;=Instrucciones!$B62,"Sí","Pendiente"))</f>
        <v/>
      </c>
      <c r="J43" s="13" t="str">
        <f t="shared" si="1"/>
        <v/>
      </c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7"/>
      <c r="B44" s="13" t="str">
        <f>IF(A44="","",COUNTIFS('Final presencial'!$A$6:$A$125,A44,'Final presencial'!$T$6:$T$125,"Sí"))</f>
        <v/>
      </c>
      <c r="C44" s="25" t="str">
        <f>IF(A44="","",IFERROR(SUMIFS('Final presencial'!$O$6:$O$125,'Final presencial'!$A$6:$A$125,A44,'Final presencial'!$T$6:$T$125,"Sí")/B44,""))</f>
        <v/>
      </c>
      <c r="D44" s="25" t="str">
        <f>IF(A44="","",IFERROR(SUMIFS('Final presencial'!$E$6:$E$125,'Final presencial'!$A$6:$A$125,A44,'Final presencial'!$T$6:$T$125,"Sí")/B44,""))</f>
        <v/>
      </c>
      <c r="E44" s="25" t="str">
        <f>IF(A44="","",IFERROR(SUMIFS('Final presencial'!$G$6:$G$125,'Final presencial'!$A$6:$A$125,A44,'Final presencial'!$T$6:$T$125,"Sí")/B44,""))</f>
        <v/>
      </c>
      <c r="F44" s="25" t="str">
        <f>IF(A44="","",IFERROR(SUMIFS('Final presencial'!$I$6:$I$125,'Final presencial'!$A$6:$A$125,A44,'Final presencial'!$T$6:$T$125,"Sí")/B44,""))</f>
        <v/>
      </c>
      <c r="G44" s="25" t="str">
        <f>IF(A44="","",IFERROR(SUMIFS('Final presencial'!$K$6:$K$125,'Final presencial'!$A$6:$A$125,A44,'Final presencial'!$T$6:$T$125,"Sí")/B44,""))</f>
        <v/>
      </c>
      <c r="H44" s="25" t="str">
        <f>IF(A44="","",IFERROR(SUMIFS('Final presencial'!$M$6:$M$125,'Final presencial'!$A$6:$A$125,A44,'Final presencial'!$T$6:$T$125,"Sí")/B44,""))</f>
        <v/>
      </c>
      <c r="I44" s="13" t="str">
        <f>IF(A44="","",IF(B44&gt;=Instrucciones!$B63,"Sí","Pendiente"))</f>
        <v/>
      </c>
      <c r="J44" s="13" t="str">
        <f t="shared" si="1"/>
        <v/>
      </c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7"/>
      <c r="B45" s="13" t="str">
        <f>IF(A45="","",COUNTIFS('Final presencial'!$A$6:$A$125,A45,'Final presencial'!$T$6:$T$125,"Sí"))</f>
        <v/>
      </c>
      <c r="C45" s="25" t="str">
        <f>IF(A45="","",IFERROR(SUMIFS('Final presencial'!$O$6:$O$125,'Final presencial'!$A$6:$A$125,A45,'Final presencial'!$T$6:$T$125,"Sí")/B45,""))</f>
        <v/>
      </c>
      <c r="D45" s="25" t="str">
        <f>IF(A45="","",IFERROR(SUMIFS('Final presencial'!$E$6:$E$125,'Final presencial'!$A$6:$A$125,A45,'Final presencial'!$T$6:$T$125,"Sí")/B45,""))</f>
        <v/>
      </c>
      <c r="E45" s="25" t="str">
        <f>IF(A45="","",IFERROR(SUMIFS('Final presencial'!$G$6:$G$125,'Final presencial'!$A$6:$A$125,A45,'Final presencial'!$T$6:$T$125,"Sí")/B45,""))</f>
        <v/>
      </c>
      <c r="F45" s="25" t="str">
        <f>IF(A45="","",IFERROR(SUMIFS('Final presencial'!$I$6:$I$125,'Final presencial'!$A$6:$A$125,A45,'Final presencial'!$T$6:$T$125,"Sí")/B45,""))</f>
        <v/>
      </c>
      <c r="G45" s="25" t="str">
        <f>IF(A45="","",IFERROR(SUMIFS('Final presencial'!$K$6:$K$125,'Final presencial'!$A$6:$A$125,A45,'Final presencial'!$T$6:$T$125,"Sí")/B45,""))</f>
        <v/>
      </c>
      <c r="H45" s="25" t="str">
        <f>IF(A45="","",IFERROR(SUMIFS('Final presencial'!$M$6:$M$125,'Final presencial'!$A$6:$A$125,A45,'Final presencial'!$T$6:$T$125,"Sí")/B45,""))</f>
        <v/>
      </c>
      <c r="I45" s="13" t="str">
        <f>IF(A45="","",IF(B45&gt;=Instrucciones!$B64,"Sí","Pendiente"))</f>
        <v/>
      </c>
      <c r="J45" s="13" t="str">
        <f t="shared" si="1"/>
        <v/>
      </c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7"/>
      <c r="B46" s="13" t="str">
        <f>IF(A46="","",COUNTIFS('Final presencial'!$A$6:$A$125,A46,'Final presencial'!$T$6:$T$125,"Sí"))</f>
        <v/>
      </c>
      <c r="C46" s="25" t="str">
        <f>IF(A46="","",IFERROR(SUMIFS('Final presencial'!$O$6:$O$125,'Final presencial'!$A$6:$A$125,A46,'Final presencial'!$T$6:$T$125,"Sí")/B46,""))</f>
        <v/>
      </c>
      <c r="D46" s="25" t="str">
        <f>IF(A46="","",IFERROR(SUMIFS('Final presencial'!$E$6:$E$125,'Final presencial'!$A$6:$A$125,A46,'Final presencial'!$T$6:$T$125,"Sí")/B46,""))</f>
        <v/>
      </c>
      <c r="E46" s="25" t="str">
        <f>IF(A46="","",IFERROR(SUMIFS('Final presencial'!$G$6:$G$125,'Final presencial'!$A$6:$A$125,A46,'Final presencial'!$T$6:$T$125,"Sí")/B46,""))</f>
        <v/>
      </c>
      <c r="F46" s="25" t="str">
        <f>IF(A46="","",IFERROR(SUMIFS('Final presencial'!$I$6:$I$125,'Final presencial'!$A$6:$A$125,A46,'Final presencial'!$T$6:$T$125,"Sí")/B46,""))</f>
        <v/>
      </c>
      <c r="G46" s="25" t="str">
        <f>IF(A46="","",IFERROR(SUMIFS('Final presencial'!$K$6:$K$125,'Final presencial'!$A$6:$A$125,A46,'Final presencial'!$T$6:$T$125,"Sí")/B46,""))</f>
        <v/>
      </c>
      <c r="H46" s="25" t="str">
        <f>IF(A46="","",IFERROR(SUMIFS('Final presencial'!$M$6:$M$125,'Final presencial'!$A$6:$A$125,A46,'Final presencial'!$T$6:$T$125,"Sí")/B46,""))</f>
        <v/>
      </c>
      <c r="I46" s="13" t="str">
        <f>IF(A46="","",IF(B46&gt;=Instrucciones!$B65,"Sí","Pendiente"))</f>
        <v/>
      </c>
      <c r="J46" s="13" t="str">
        <f t="shared" si="1"/>
        <v/>
      </c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7"/>
      <c r="B47" s="13" t="str">
        <f>IF(A47="","",COUNTIFS('Final presencial'!$A$6:$A$125,A47,'Final presencial'!$T$6:$T$125,"Sí"))</f>
        <v/>
      </c>
      <c r="C47" s="25" t="str">
        <f>IF(A47="","",IFERROR(SUMIFS('Final presencial'!$O$6:$O$125,'Final presencial'!$A$6:$A$125,A47,'Final presencial'!$T$6:$T$125,"Sí")/B47,""))</f>
        <v/>
      </c>
      <c r="D47" s="25" t="str">
        <f>IF(A47="","",IFERROR(SUMIFS('Final presencial'!$E$6:$E$125,'Final presencial'!$A$6:$A$125,A47,'Final presencial'!$T$6:$T$125,"Sí")/B47,""))</f>
        <v/>
      </c>
      <c r="E47" s="25" t="str">
        <f>IF(A47="","",IFERROR(SUMIFS('Final presencial'!$G$6:$G$125,'Final presencial'!$A$6:$A$125,A47,'Final presencial'!$T$6:$T$125,"Sí")/B47,""))</f>
        <v/>
      </c>
      <c r="F47" s="25" t="str">
        <f>IF(A47="","",IFERROR(SUMIFS('Final presencial'!$I$6:$I$125,'Final presencial'!$A$6:$A$125,A47,'Final presencial'!$T$6:$T$125,"Sí")/B47,""))</f>
        <v/>
      </c>
      <c r="G47" s="25" t="str">
        <f>IF(A47="","",IFERROR(SUMIFS('Final presencial'!$K$6:$K$125,'Final presencial'!$A$6:$A$125,A47,'Final presencial'!$T$6:$T$125,"Sí")/B47,""))</f>
        <v/>
      </c>
      <c r="H47" s="25" t="str">
        <f>IF(A47="","",IFERROR(SUMIFS('Final presencial'!$M$6:$M$125,'Final presencial'!$A$6:$A$125,A47,'Final presencial'!$T$6:$T$125,"Sí")/B47,""))</f>
        <v/>
      </c>
      <c r="I47" s="13" t="str">
        <f>IF(A47="","",IF(B47&gt;=Instrucciones!$B66,"Sí","Pendiente"))</f>
        <v/>
      </c>
      <c r="J47" s="13" t="str">
        <f t="shared" si="1"/>
        <v/>
      </c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7"/>
      <c r="B48" s="13" t="str">
        <f>IF(A48="","",COUNTIFS('Final presencial'!$A$6:$A$125,A48,'Final presencial'!$T$6:$T$125,"Sí"))</f>
        <v/>
      </c>
      <c r="C48" s="25" t="str">
        <f>IF(A48="","",IFERROR(SUMIFS('Final presencial'!$O$6:$O$125,'Final presencial'!$A$6:$A$125,A48,'Final presencial'!$T$6:$T$125,"Sí")/B48,""))</f>
        <v/>
      </c>
      <c r="D48" s="25" t="str">
        <f>IF(A48="","",IFERROR(SUMIFS('Final presencial'!$E$6:$E$125,'Final presencial'!$A$6:$A$125,A48,'Final presencial'!$T$6:$T$125,"Sí")/B48,""))</f>
        <v/>
      </c>
      <c r="E48" s="25" t="str">
        <f>IF(A48="","",IFERROR(SUMIFS('Final presencial'!$G$6:$G$125,'Final presencial'!$A$6:$A$125,A48,'Final presencial'!$T$6:$T$125,"Sí")/B48,""))</f>
        <v/>
      </c>
      <c r="F48" s="25" t="str">
        <f>IF(A48="","",IFERROR(SUMIFS('Final presencial'!$I$6:$I$125,'Final presencial'!$A$6:$A$125,A48,'Final presencial'!$T$6:$T$125,"Sí")/B48,""))</f>
        <v/>
      </c>
      <c r="G48" s="25" t="str">
        <f>IF(A48="","",IFERROR(SUMIFS('Final presencial'!$K$6:$K$125,'Final presencial'!$A$6:$A$125,A48,'Final presencial'!$T$6:$T$125,"Sí")/B48,""))</f>
        <v/>
      </c>
      <c r="H48" s="25" t="str">
        <f>IF(A48="","",IFERROR(SUMIFS('Final presencial'!$M$6:$M$125,'Final presencial'!$A$6:$A$125,A48,'Final presencial'!$T$6:$T$125,"Sí")/B48,""))</f>
        <v/>
      </c>
      <c r="I48" s="13" t="str">
        <f>IF(A48="","",IF(B48&gt;=Instrucciones!$B67,"Sí","Pendiente"))</f>
        <v/>
      </c>
      <c r="J48" s="13" t="str">
        <f t="shared" si="1"/>
        <v/>
      </c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7"/>
      <c r="B49" s="13" t="str">
        <f>IF(A49="","",COUNTIFS('Final presencial'!$A$6:$A$125,A49,'Final presencial'!$T$6:$T$125,"Sí"))</f>
        <v/>
      </c>
      <c r="C49" s="25" t="str">
        <f>IF(A49="","",IFERROR(SUMIFS('Final presencial'!$O$6:$O$125,'Final presencial'!$A$6:$A$125,A49,'Final presencial'!$T$6:$T$125,"Sí")/B49,""))</f>
        <v/>
      </c>
      <c r="D49" s="25" t="str">
        <f>IF(A49="","",IFERROR(SUMIFS('Final presencial'!$E$6:$E$125,'Final presencial'!$A$6:$A$125,A49,'Final presencial'!$T$6:$T$125,"Sí")/B49,""))</f>
        <v/>
      </c>
      <c r="E49" s="25" t="str">
        <f>IF(A49="","",IFERROR(SUMIFS('Final presencial'!$G$6:$G$125,'Final presencial'!$A$6:$A$125,A49,'Final presencial'!$T$6:$T$125,"Sí")/B49,""))</f>
        <v/>
      </c>
      <c r="F49" s="25" t="str">
        <f>IF(A49="","",IFERROR(SUMIFS('Final presencial'!$I$6:$I$125,'Final presencial'!$A$6:$A$125,A49,'Final presencial'!$T$6:$T$125,"Sí")/B49,""))</f>
        <v/>
      </c>
      <c r="G49" s="25" t="str">
        <f>IF(A49="","",IFERROR(SUMIFS('Final presencial'!$K$6:$K$125,'Final presencial'!$A$6:$A$125,A49,'Final presencial'!$T$6:$T$125,"Sí")/B49,""))</f>
        <v/>
      </c>
      <c r="H49" s="25" t="str">
        <f>IF(A49="","",IFERROR(SUMIFS('Final presencial'!$M$6:$M$125,'Final presencial'!$A$6:$A$125,A49,'Final presencial'!$T$6:$T$125,"Sí")/B49,""))</f>
        <v/>
      </c>
      <c r="I49" s="13" t="str">
        <f>IF(A49="","",IF(B49&gt;=Instrucciones!$B68,"Sí","Pendiente"))</f>
        <v/>
      </c>
      <c r="J49" s="13" t="str">
        <f t="shared" si="1"/>
        <v/>
      </c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7"/>
      <c r="B50" s="13" t="str">
        <f>IF(A50="","",COUNTIFS('Final presencial'!$A$6:$A$125,A50,'Final presencial'!$T$6:$T$125,"Sí"))</f>
        <v/>
      </c>
      <c r="C50" s="25" t="str">
        <f>IF(A50="","",IFERROR(SUMIFS('Final presencial'!$O$6:$O$125,'Final presencial'!$A$6:$A$125,A50,'Final presencial'!$T$6:$T$125,"Sí")/B50,""))</f>
        <v/>
      </c>
      <c r="D50" s="25" t="str">
        <f>IF(A50="","",IFERROR(SUMIFS('Final presencial'!$E$6:$E$125,'Final presencial'!$A$6:$A$125,A50,'Final presencial'!$T$6:$T$125,"Sí")/B50,""))</f>
        <v/>
      </c>
      <c r="E50" s="25" t="str">
        <f>IF(A50="","",IFERROR(SUMIFS('Final presencial'!$G$6:$G$125,'Final presencial'!$A$6:$A$125,A50,'Final presencial'!$T$6:$T$125,"Sí")/B50,""))</f>
        <v/>
      </c>
      <c r="F50" s="25" t="str">
        <f>IF(A50="","",IFERROR(SUMIFS('Final presencial'!$I$6:$I$125,'Final presencial'!$A$6:$A$125,A50,'Final presencial'!$T$6:$T$125,"Sí")/B50,""))</f>
        <v/>
      </c>
      <c r="G50" s="25" t="str">
        <f>IF(A50="","",IFERROR(SUMIFS('Final presencial'!$K$6:$K$125,'Final presencial'!$A$6:$A$125,A50,'Final presencial'!$T$6:$T$125,"Sí")/B50,""))</f>
        <v/>
      </c>
      <c r="H50" s="25" t="str">
        <f>IF(A50="","",IFERROR(SUMIFS('Final presencial'!$M$6:$M$125,'Final presencial'!$A$6:$A$125,A50,'Final presencial'!$T$6:$T$125,"Sí")/B50,""))</f>
        <v/>
      </c>
      <c r="I50" s="13" t="str">
        <f>IF(A50="","",IF(B50&gt;=Instrucciones!$B69,"Sí","Pendiente"))</f>
        <v/>
      </c>
      <c r="J50" s="13" t="str">
        <f t="shared" si="1"/>
        <v/>
      </c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7"/>
      <c r="B51" s="13" t="str">
        <f>IF(A51="","",COUNTIFS('Final presencial'!$A$6:$A$125,A51,'Final presencial'!$T$6:$T$125,"Sí"))</f>
        <v/>
      </c>
      <c r="C51" s="25" t="str">
        <f>IF(A51="","",IFERROR(SUMIFS('Final presencial'!$O$6:$O$125,'Final presencial'!$A$6:$A$125,A51,'Final presencial'!$T$6:$T$125,"Sí")/B51,""))</f>
        <v/>
      </c>
      <c r="D51" s="25" t="str">
        <f>IF(A51="","",IFERROR(SUMIFS('Final presencial'!$E$6:$E$125,'Final presencial'!$A$6:$A$125,A51,'Final presencial'!$T$6:$T$125,"Sí")/B51,""))</f>
        <v/>
      </c>
      <c r="E51" s="25" t="str">
        <f>IF(A51="","",IFERROR(SUMIFS('Final presencial'!$G$6:$G$125,'Final presencial'!$A$6:$A$125,A51,'Final presencial'!$T$6:$T$125,"Sí")/B51,""))</f>
        <v/>
      </c>
      <c r="F51" s="25" t="str">
        <f>IF(A51="","",IFERROR(SUMIFS('Final presencial'!$I$6:$I$125,'Final presencial'!$A$6:$A$125,A51,'Final presencial'!$T$6:$T$125,"Sí")/B51,""))</f>
        <v/>
      </c>
      <c r="G51" s="25" t="str">
        <f>IF(A51="","",IFERROR(SUMIFS('Final presencial'!$K$6:$K$125,'Final presencial'!$A$6:$A$125,A51,'Final presencial'!$T$6:$T$125,"Sí")/B51,""))</f>
        <v/>
      </c>
      <c r="H51" s="25" t="str">
        <f>IF(A51="","",IFERROR(SUMIFS('Final presencial'!$M$6:$M$125,'Final presencial'!$A$6:$A$125,A51,'Final presencial'!$T$6:$T$125,"Sí")/B51,""))</f>
        <v/>
      </c>
      <c r="I51" s="13" t="str">
        <f>IF(A51="","",IF(B51&gt;=Instrucciones!$B70,"Sí","Pendiente"))</f>
        <v/>
      </c>
      <c r="J51" s="13" t="str">
        <f t="shared" si="1"/>
        <v/>
      </c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7"/>
      <c r="B52" s="13" t="str">
        <f>IF(A52="","",COUNTIFS('Final presencial'!$A$6:$A$125,A52,'Final presencial'!$T$6:$T$125,"Sí"))</f>
        <v/>
      </c>
      <c r="C52" s="25" t="str">
        <f>IF(A52="","",IFERROR(SUMIFS('Final presencial'!$O$6:$O$125,'Final presencial'!$A$6:$A$125,A52,'Final presencial'!$T$6:$T$125,"Sí")/B52,""))</f>
        <v/>
      </c>
      <c r="D52" s="25" t="str">
        <f>IF(A52="","",IFERROR(SUMIFS('Final presencial'!$E$6:$E$125,'Final presencial'!$A$6:$A$125,A52,'Final presencial'!$T$6:$T$125,"Sí")/B52,""))</f>
        <v/>
      </c>
      <c r="E52" s="25" t="str">
        <f>IF(A52="","",IFERROR(SUMIFS('Final presencial'!$G$6:$G$125,'Final presencial'!$A$6:$A$125,A52,'Final presencial'!$T$6:$T$125,"Sí")/B52,""))</f>
        <v/>
      </c>
      <c r="F52" s="25" t="str">
        <f>IF(A52="","",IFERROR(SUMIFS('Final presencial'!$I$6:$I$125,'Final presencial'!$A$6:$A$125,A52,'Final presencial'!$T$6:$T$125,"Sí")/B52,""))</f>
        <v/>
      </c>
      <c r="G52" s="25" t="str">
        <f>IF(A52="","",IFERROR(SUMIFS('Final presencial'!$K$6:$K$125,'Final presencial'!$A$6:$A$125,A52,'Final presencial'!$T$6:$T$125,"Sí")/B52,""))</f>
        <v/>
      </c>
      <c r="H52" s="25" t="str">
        <f>IF(A52="","",IFERROR(SUMIFS('Final presencial'!$M$6:$M$125,'Final presencial'!$A$6:$A$125,A52,'Final presencial'!$T$6:$T$125,"Sí")/B52,""))</f>
        <v/>
      </c>
      <c r="I52" s="13" t="str">
        <f>IF(A52="","",IF(B52&gt;=Instrucciones!$B71,"Sí","Pendiente"))</f>
        <v/>
      </c>
      <c r="J52" s="13" t="str">
        <f t="shared" si="1"/>
        <v/>
      </c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7"/>
      <c r="B53" s="13" t="str">
        <f>IF(A53="","",COUNTIFS('Final presencial'!$A$6:$A$125,A53,'Final presencial'!$T$6:$T$125,"Sí"))</f>
        <v/>
      </c>
      <c r="C53" s="25" t="str">
        <f>IF(A53="","",IFERROR(SUMIFS('Final presencial'!$O$6:$O$125,'Final presencial'!$A$6:$A$125,A53,'Final presencial'!$T$6:$T$125,"Sí")/B53,""))</f>
        <v/>
      </c>
      <c r="D53" s="25" t="str">
        <f>IF(A53="","",IFERROR(SUMIFS('Final presencial'!$E$6:$E$125,'Final presencial'!$A$6:$A$125,A53,'Final presencial'!$T$6:$T$125,"Sí")/B53,""))</f>
        <v/>
      </c>
      <c r="E53" s="25" t="str">
        <f>IF(A53="","",IFERROR(SUMIFS('Final presencial'!$G$6:$G$125,'Final presencial'!$A$6:$A$125,A53,'Final presencial'!$T$6:$T$125,"Sí")/B53,""))</f>
        <v/>
      </c>
      <c r="F53" s="25" t="str">
        <f>IF(A53="","",IFERROR(SUMIFS('Final presencial'!$I$6:$I$125,'Final presencial'!$A$6:$A$125,A53,'Final presencial'!$T$6:$T$125,"Sí")/B53,""))</f>
        <v/>
      </c>
      <c r="G53" s="25" t="str">
        <f>IF(A53="","",IFERROR(SUMIFS('Final presencial'!$K$6:$K$125,'Final presencial'!$A$6:$A$125,A53,'Final presencial'!$T$6:$T$125,"Sí")/B53,""))</f>
        <v/>
      </c>
      <c r="H53" s="25" t="str">
        <f>IF(A53="","",IFERROR(SUMIFS('Final presencial'!$M$6:$M$125,'Final presencial'!$A$6:$A$125,A53,'Final presencial'!$T$6:$T$125,"Sí")/B53,""))</f>
        <v/>
      </c>
      <c r="I53" s="13" t="str">
        <f>IF(A53="","",IF(B53&gt;=Instrucciones!$B72,"Sí","Pendiente"))</f>
        <v/>
      </c>
      <c r="J53" s="13" t="str">
        <f t="shared" si="1"/>
        <v/>
      </c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7"/>
      <c r="B54" s="13" t="str">
        <f>IF(A54="","",COUNTIFS('Final presencial'!$A$6:$A$125,A54,'Final presencial'!$T$6:$T$125,"Sí"))</f>
        <v/>
      </c>
      <c r="C54" s="25" t="str">
        <f>IF(A54="","",IFERROR(SUMIFS('Final presencial'!$O$6:$O$125,'Final presencial'!$A$6:$A$125,A54,'Final presencial'!$T$6:$T$125,"Sí")/B54,""))</f>
        <v/>
      </c>
      <c r="D54" s="25" t="str">
        <f>IF(A54="","",IFERROR(SUMIFS('Final presencial'!$E$6:$E$125,'Final presencial'!$A$6:$A$125,A54,'Final presencial'!$T$6:$T$125,"Sí")/B54,""))</f>
        <v/>
      </c>
      <c r="E54" s="25" t="str">
        <f>IF(A54="","",IFERROR(SUMIFS('Final presencial'!$G$6:$G$125,'Final presencial'!$A$6:$A$125,A54,'Final presencial'!$T$6:$T$125,"Sí")/B54,""))</f>
        <v/>
      </c>
      <c r="F54" s="25" t="str">
        <f>IF(A54="","",IFERROR(SUMIFS('Final presencial'!$I$6:$I$125,'Final presencial'!$A$6:$A$125,A54,'Final presencial'!$T$6:$T$125,"Sí")/B54,""))</f>
        <v/>
      </c>
      <c r="G54" s="25" t="str">
        <f>IF(A54="","",IFERROR(SUMIFS('Final presencial'!$K$6:$K$125,'Final presencial'!$A$6:$A$125,A54,'Final presencial'!$T$6:$T$125,"Sí")/B54,""))</f>
        <v/>
      </c>
      <c r="H54" s="25" t="str">
        <f>IF(A54="","",IFERROR(SUMIFS('Final presencial'!$M$6:$M$125,'Final presencial'!$A$6:$A$125,A54,'Final presencial'!$T$6:$T$125,"Sí")/B54,""))</f>
        <v/>
      </c>
      <c r="I54" s="13" t="str">
        <f>IF(A54="","",IF(B54&gt;=Instrucciones!$B73,"Sí","Pendiente"))</f>
        <v/>
      </c>
      <c r="J54" s="13" t="str">
        <f t="shared" si="1"/>
        <v/>
      </c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7"/>
      <c r="B55" s="13" t="str">
        <f>IF(A55="","",COUNTIFS('Final presencial'!$A$6:$A$125,A55,'Final presencial'!$T$6:$T$125,"Sí"))</f>
        <v/>
      </c>
      <c r="C55" s="25" t="str">
        <f>IF(A55="","",IFERROR(SUMIFS('Final presencial'!$O$6:$O$125,'Final presencial'!$A$6:$A$125,A55,'Final presencial'!$T$6:$T$125,"Sí")/B55,""))</f>
        <v/>
      </c>
      <c r="D55" s="25" t="str">
        <f>IF(A55="","",IFERROR(SUMIFS('Final presencial'!$E$6:$E$125,'Final presencial'!$A$6:$A$125,A55,'Final presencial'!$T$6:$T$125,"Sí")/B55,""))</f>
        <v/>
      </c>
      <c r="E55" s="25" t="str">
        <f>IF(A55="","",IFERROR(SUMIFS('Final presencial'!$G$6:$G$125,'Final presencial'!$A$6:$A$125,A55,'Final presencial'!$T$6:$T$125,"Sí")/B55,""))</f>
        <v/>
      </c>
      <c r="F55" s="25" t="str">
        <f>IF(A55="","",IFERROR(SUMIFS('Final presencial'!$I$6:$I$125,'Final presencial'!$A$6:$A$125,A55,'Final presencial'!$T$6:$T$125,"Sí")/B55,""))</f>
        <v/>
      </c>
      <c r="G55" s="25" t="str">
        <f>IF(A55="","",IFERROR(SUMIFS('Final presencial'!$K$6:$K$125,'Final presencial'!$A$6:$A$125,A55,'Final presencial'!$T$6:$T$125,"Sí")/B55,""))</f>
        <v/>
      </c>
      <c r="H55" s="25" t="str">
        <f>IF(A55="","",IFERROR(SUMIFS('Final presencial'!$M$6:$M$125,'Final presencial'!$A$6:$A$125,A55,'Final presencial'!$T$6:$T$125,"Sí")/B55,""))</f>
        <v/>
      </c>
      <c r="I55" s="13" t="str">
        <f>IF(A55="","",IF(B55&gt;=Instrucciones!$B74,"Sí","Pendiente"))</f>
        <v/>
      </c>
      <c r="J55" s="13" t="str">
        <f t="shared" si="1"/>
        <v/>
      </c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7"/>
      <c r="B56" s="13" t="str">
        <f>IF(A56="","",COUNTIFS('Final presencial'!$A$6:$A$125,A56,'Final presencial'!$T$6:$T$125,"Sí"))</f>
        <v/>
      </c>
      <c r="C56" s="25" t="str">
        <f>IF(A56="","",IFERROR(SUMIFS('Final presencial'!$O$6:$O$125,'Final presencial'!$A$6:$A$125,A56,'Final presencial'!$T$6:$T$125,"Sí")/B56,""))</f>
        <v/>
      </c>
      <c r="D56" s="25" t="str">
        <f>IF(A56="","",IFERROR(SUMIFS('Final presencial'!$E$6:$E$125,'Final presencial'!$A$6:$A$125,A56,'Final presencial'!$T$6:$T$125,"Sí")/B56,""))</f>
        <v/>
      </c>
      <c r="E56" s="25" t="str">
        <f>IF(A56="","",IFERROR(SUMIFS('Final presencial'!$G$6:$G$125,'Final presencial'!$A$6:$A$125,A56,'Final presencial'!$T$6:$T$125,"Sí")/B56,""))</f>
        <v/>
      </c>
      <c r="F56" s="25" t="str">
        <f>IF(A56="","",IFERROR(SUMIFS('Final presencial'!$I$6:$I$125,'Final presencial'!$A$6:$A$125,A56,'Final presencial'!$T$6:$T$125,"Sí")/B56,""))</f>
        <v/>
      </c>
      <c r="G56" s="25" t="str">
        <f>IF(A56="","",IFERROR(SUMIFS('Final presencial'!$K$6:$K$125,'Final presencial'!$A$6:$A$125,A56,'Final presencial'!$T$6:$T$125,"Sí")/B56,""))</f>
        <v/>
      </c>
      <c r="H56" s="25" t="str">
        <f>IF(A56="","",IFERROR(SUMIFS('Final presencial'!$M$6:$M$125,'Final presencial'!$A$6:$A$125,A56,'Final presencial'!$T$6:$T$125,"Sí")/B56,""))</f>
        <v/>
      </c>
      <c r="I56" s="13" t="str">
        <f>IF(A56="","",IF(B56&gt;=Instrucciones!$B75,"Sí","Pendiente"))</f>
        <v/>
      </c>
      <c r="J56" s="13" t="str">
        <f t="shared" si="1"/>
        <v/>
      </c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7"/>
      <c r="B57" s="13" t="str">
        <f>IF(A57="","",COUNTIFS('Final presencial'!$A$6:$A$125,A57,'Final presencial'!$T$6:$T$125,"Sí"))</f>
        <v/>
      </c>
      <c r="C57" s="25" t="str">
        <f>IF(A57="","",IFERROR(SUMIFS('Final presencial'!$O$6:$O$125,'Final presencial'!$A$6:$A$125,A57,'Final presencial'!$T$6:$T$125,"Sí")/B57,""))</f>
        <v/>
      </c>
      <c r="D57" s="25" t="str">
        <f>IF(A57="","",IFERROR(SUMIFS('Final presencial'!$E$6:$E$125,'Final presencial'!$A$6:$A$125,A57,'Final presencial'!$T$6:$T$125,"Sí")/B57,""))</f>
        <v/>
      </c>
      <c r="E57" s="25" t="str">
        <f>IF(A57="","",IFERROR(SUMIFS('Final presencial'!$G$6:$G$125,'Final presencial'!$A$6:$A$125,A57,'Final presencial'!$T$6:$T$125,"Sí")/B57,""))</f>
        <v/>
      </c>
      <c r="F57" s="25" t="str">
        <f>IF(A57="","",IFERROR(SUMIFS('Final presencial'!$I$6:$I$125,'Final presencial'!$A$6:$A$125,A57,'Final presencial'!$T$6:$T$125,"Sí")/B57,""))</f>
        <v/>
      </c>
      <c r="G57" s="25" t="str">
        <f>IF(A57="","",IFERROR(SUMIFS('Final presencial'!$K$6:$K$125,'Final presencial'!$A$6:$A$125,A57,'Final presencial'!$T$6:$T$125,"Sí")/B57,""))</f>
        <v/>
      </c>
      <c r="H57" s="25" t="str">
        <f>IF(A57="","",IFERROR(SUMIFS('Final presencial'!$M$6:$M$125,'Final presencial'!$A$6:$A$125,A57,'Final presencial'!$T$6:$T$125,"Sí")/B57,""))</f>
        <v/>
      </c>
      <c r="I57" s="13" t="str">
        <f>IF(A57="","",IF(B57&gt;=Instrucciones!$B76,"Sí","Pendiente"))</f>
        <v/>
      </c>
      <c r="J57" s="13" t="str">
        <f t="shared" si="1"/>
        <v/>
      </c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7"/>
      <c r="B58" s="13" t="str">
        <f>IF(A58="","",COUNTIFS('Final presencial'!$A$6:$A$125,A58,'Final presencial'!$T$6:$T$125,"Sí"))</f>
        <v/>
      </c>
      <c r="C58" s="25" t="str">
        <f>IF(A58="","",IFERROR(SUMIFS('Final presencial'!$O$6:$O$125,'Final presencial'!$A$6:$A$125,A58,'Final presencial'!$T$6:$T$125,"Sí")/B58,""))</f>
        <v/>
      </c>
      <c r="D58" s="25" t="str">
        <f>IF(A58="","",IFERROR(SUMIFS('Final presencial'!$E$6:$E$125,'Final presencial'!$A$6:$A$125,A58,'Final presencial'!$T$6:$T$125,"Sí")/B58,""))</f>
        <v/>
      </c>
      <c r="E58" s="25" t="str">
        <f>IF(A58="","",IFERROR(SUMIFS('Final presencial'!$G$6:$G$125,'Final presencial'!$A$6:$A$125,A58,'Final presencial'!$T$6:$T$125,"Sí")/B58,""))</f>
        <v/>
      </c>
      <c r="F58" s="25" t="str">
        <f>IF(A58="","",IFERROR(SUMIFS('Final presencial'!$I$6:$I$125,'Final presencial'!$A$6:$A$125,A58,'Final presencial'!$T$6:$T$125,"Sí")/B58,""))</f>
        <v/>
      </c>
      <c r="G58" s="25" t="str">
        <f>IF(A58="","",IFERROR(SUMIFS('Final presencial'!$K$6:$K$125,'Final presencial'!$A$6:$A$125,A58,'Final presencial'!$T$6:$T$125,"Sí")/B58,""))</f>
        <v/>
      </c>
      <c r="H58" s="25" t="str">
        <f>IF(A58="","",IFERROR(SUMIFS('Final presencial'!$M$6:$M$125,'Final presencial'!$A$6:$A$125,A58,'Final presencial'!$T$6:$T$125,"Sí")/B58,""))</f>
        <v/>
      </c>
      <c r="I58" s="13" t="str">
        <f>IF(A58="","",IF(B58&gt;=Instrucciones!$B77,"Sí","Pendiente"))</f>
        <v/>
      </c>
      <c r="J58" s="13" t="str">
        <f t="shared" si="1"/>
        <v/>
      </c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7"/>
      <c r="B59" s="13" t="str">
        <f>IF(A59="","",COUNTIFS('Final presencial'!$A$6:$A$125,A59,'Final presencial'!$T$6:$T$125,"Sí"))</f>
        <v/>
      </c>
      <c r="C59" s="25" t="str">
        <f>IF(A59="","",IFERROR(SUMIFS('Final presencial'!$O$6:$O$125,'Final presencial'!$A$6:$A$125,A59,'Final presencial'!$T$6:$T$125,"Sí")/B59,""))</f>
        <v/>
      </c>
      <c r="D59" s="25" t="str">
        <f>IF(A59="","",IFERROR(SUMIFS('Final presencial'!$E$6:$E$125,'Final presencial'!$A$6:$A$125,A59,'Final presencial'!$T$6:$T$125,"Sí")/B59,""))</f>
        <v/>
      </c>
      <c r="E59" s="25" t="str">
        <f>IF(A59="","",IFERROR(SUMIFS('Final presencial'!$G$6:$G$125,'Final presencial'!$A$6:$A$125,A59,'Final presencial'!$T$6:$T$125,"Sí")/B59,""))</f>
        <v/>
      </c>
      <c r="F59" s="25" t="str">
        <f>IF(A59="","",IFERROR(SUMIFS('Final presencial'!$I$6:$I$125,'Final presencial'!$A$6:$A$125,A59,'Final presencial'!$T$6:$T$125,"Sí")/B59,""))</f>
        <v/>
      </c>
      <c r="G59" s="25" t="str">
        <f>IF(A59="","",IFERROR(SUMIFS('Final presencial'!$K$6:$K$125,'Final presencial'!$A$6:$A$125,A59,'Final presencial'!$T$6:$T$125,"Sí")/B59,""))</f>
        <v/>
      </c>
      <c r="H59" s="25" t="str">
        <f>IF(A59="","",IFERROR(SUMIFS('Final presencial'!$M$6:$M$125,'Final presencial'!$A$6:$A$125,A59,'Final presencial'!$T$6:$T$125,"Sí")/B59,""))</f>
        <v/>
      </c>
      <c r="I59" s="13" t="str">
        <f>IF(A59="","",IF(B59&gt;=Instrucciones!$B78,"Sí","Pendiente"))</f>
        <v/>
      </c>
      <c r="J59" s="13" t="str">
        <f t="shared" si="1"/>
        <v/>
      </c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7"/>
      <c r="B60" s="13" t="str">
        <f>IF(A60="","",COUNTIFS('Final presencial'!$A$6:$A$125,A60,'Final presencial'!$T$6:$T$125,"Sí"))</f>
        <v/>
      </c>
      <c r="C60" s="25" t="str">
        <f>IF(A60="","",IFERROR(SUMIFS('Final presencial'!$O$6:$O$125,'Final presencial'!$A$6:$A$125,A60,'Final presencial'!$T$6:$T$125,"Sí")/B60,""))</f>
        <v/>
      </c>
      <c r="D60" s="25" t="str">
        <f>IF(A60="","",IFERROR(SUMIFS('Final presencial'!$E$6:$E$125,'Final presencial'!$A$6:$A$125,A60,'Final presencial'!$T$6:$T$125,"Sí")/B60,""))</f>
        <v/>
      </c>
      <c r="E60" s="25" t="str">
        <f>IF(A60="","",IFERROR(SUMIFS('Final presencial'!$G$6:$G$125,'Final presencial'!$A$6:$A$125,A60,'Final presencial'!$T$6:$T$125,"Sí")/B60,""))</f>
        <v/>
      </c>
      <c r="F60" s="25" t="str">
        <f>IF(A60="","",IFERROR(SUMIFS('Final presencial'!$I$6:$I$125,'Final presencial'!$A$6:$A$125,A60,'Final presencial'!$T$6:$T$125,"Sí")/B60,""))</f>
        <v/>
      </c>
      <c r="G60" s="25" t="str">
        <f>IF(A60="","",IFERROR(SUMIFS('Final presencial'!$K$6:$K$125,'Final presencial'!$A$6:$A$125,A60,'Final presencial'!$T$6:$T$125,"Sí")/B60,""))</f>
        <v/>
      </c>
      <c r="H60" s="25" t="str">
        <f>IF(A60="","",IFERROR(SUMIFS('Final presencial'!$M$6:$M$125,'Final presencial'!$A$6:$A$125,A60,'Final presencial'!$T$6:$T$125,"Sí")/B60,""))</f>
        <v/>
      </c>
      <c r="I60" s="13" t="str">
        <f>IF(A60="","",IF(B60&gt;=Instrucciones!$B79,"Sí","Pendiente"))</f>
        <v/>
      </c>
      <c r="J60" s="13" t="str">
        <f t="shared" si="1"/>
        <v/>
      </c>
      <c r="K60" s="1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7"/>
      <c r="B61" s="13" t="str">
        <f>IF(A61="","",COUNTIFS('Final presencial'!$A$6:$A$125,A61,'Final presencial'!$T$6:$T$125,"Sí"))</f>
        <v/>
      </c>
      <c r="C61" s="25" t="str">
        <f>IF(A61="","",IFERROR(SUMIFS('Final presencial'!$O$6:$O$125,'Final presencial'!$A$6:$A$125,A61,'Final presencial'!$T$6:$T$125,"Sí")/B61,""))</f>
        <v/>
      </c>
      <c r="D61" s="25" t="str">
        <f>IF(A61="","",IFERROR(SUMIFS('Final presencial'!$E$6:$E$125,'Final presencial'!$A$6:$A$125,A61,'Final presencial'!$T$6:$T$125,"Sí")/B61,""))</f>
        <v/>
      </c>
      <c r="E61" s="25" t="str">
        <f>IF(A61="","",IFERROR(SUMIFS('Final presencial'!$G$6:$G$125,'Final presencial'!$A$6:$A$125,A61,'Final presencial'!$T$6:$T$125,"Sí")/B61,""))</f>
        <v/>
      </c>
      <c r="F61" s="25" t="str">
        <f>IF(A61="","",IFERROR(SUMIFS('Final presencial'!$I$6:$I$125,'Final presencial'!$A$6:$A$125,A61,'Final presencial'!$T$6:$T$125,"Sí")/B61,""))</f>
        <v/>
      </c>
      <c r="G61" s="25" t="str">
        <f>IF(A61="","",IFERROR(SUMIFS('Final presencial'!$K$6:$K$125,'Final presencial'!$A$6:$A$125,A61,'Final presencial'!$T$6:$T$125,"Sí")/B61,""))</f>
        <v/>
      </c>
      <c r="H61" s="25" t="str">
        <f>IF(A61="","",IFERROR(SUMIFS('Final presencial'!$M$6:$M$125,'Final presencial'!$A$6:$A$125,A61,'Final presencial'!$T$6:$T$125,"Sí")/B61,""))</f>
        <v/>
      </c>
      <c r="I61" s="13" t="str">
        <f>IF(A61="","",IF(B61&gt;=Instrucciones!$B80,"Sí","Pendiente"))</f>
        <v/>
      </c>
      <c r="J61" s="13" t="str">
        <f t="shared" si="1"/>
        <v/>
      </c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7"/>
      <c r="B62" s="13" t="str">
        <f>IF(A62="","",COUNTIFS('Final presencial'!$A$6:$A$125,A62,'Final presencial'!$T$6:$T$125,"Sí"))</f>
        <v/>
      </c>
      <c r="C62" s="25" t="str">
        <f>IF(A62="","",IFERROR(SUMIFS('Final presencial'!$O$6:$O$125,'Final presencial'!$A$6:$A$125,A62,'Final presencial'!$T$6:$T$125,"Sí")/B62,""))</f>
        <v/>
      </c>
      <c r="D62" s="25" t="str">
        <f>IF(A62="","",IFERROR(SUMIFS('Final presencial'!$E$6:$E$125,'Final presencial'!$A$6:$A$125,A62,'Final presencial'!$T$6:$T$125,"Sí")/B62,""))</f>
        <v/>
      </c>
      <c r="E62" s="25" t="str">
        <f>IF(A62="","",IFERROR(SUMIFS('Final presencial'!$G$6:$G$125,'Final presencial'!$A$6:$A$125,A62,'Final presencial'!$T$6:$T$125,"Sí")/B62,""))</f>
        <v/>
      </c>
      <c r="F62" s="25" t="str">
        <f>IF(A62="","",IFERROR(SUMIFS('Final presencial'!$I$6:$I$125,'Final presencial'!$A$6:$A$125,A62,'Final presencial'!$T$6:$T$125,"Sí")/B62,""))</f>
        <v/>
      </c>
      <c r="G62" s="25" t="str">
        <f>IF(A62="","",IFERROR(SUMIFS('Final presencial'!$K$6:$K$125,'Final presencial'!$A$6:$A$125,A62,'Final presencial'!$T$6:$T$125,"Sí")/B62,""))</f>
        <v/>
      </c>
      <c r="H62" s="25" t="str">
        <f>IF(A62="","",IFERROR(SUMIFS('Final presencial'!$M$6:$M$125,'Final presencial'!$A$6:$A$125,A62,'Final presencial'!$T$6:$T$125,"Sí")/B62,""))</f>
        <v/>
      </c>
      <c r="I62" s="13" t="str">
        <f>IF(A62="","",IF(B62&gt;=Instrucciones!$B81,"Sí","Pendiente"))</f>
        <v/>
      </c>
      <c r="J62" s="13" t="str">
        <f t="shared" si="1"/>
        <v/>
      </c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7"/>
      <c r="B63" s="13" t="str">
        <f>IF(A63="","",COUNTIFS('Final presencial'!$A$6:$A$125,A63,'Final presencial'!$T$6:$T$125,"Sí"))</f>
        <v/>
      </c>
      <c r="C63" s="25" t="str">
        <f>IF(A63="","",IFERROR(SUMIFS('Final presencial'!$O$6:$O$125,'Final presencial'!$A$6:$A$125,A63,'Final presencial'!$T$6:$T$125,"Sí")/B63,""))</f>
        <v/>
      </c>
      <c r="D63" s="25" t="str">
        <f>IF(A63="","",IFERROR(SUMIFS('Final presencial'!$E$6:$E$125,'Final presencial'!$A$6:$A$125,A63,'Final presencial'!$T$6:$T$125,"Sí")/B63,""))</f>
        <v/>
      </c>
      <c r="E63" s="25" t="str">
        <f>IF(A63="","",IFERROR(SUMIFS('Final presencial'!$G$6:$G$125,'Final presencial'!$A$6:$A$125,A63,'Final presencial'!$T$6:$T$125,"Sí")/B63,""))</f>
        <v/>
      </c>
      <c r="F63" s="25" t="str">
        <f>IF(A63="","",IFERROR(SUMIFS('Final presencial'!$I$6:$I$125,'Final presencial'!$A$6:$A$125,A63,'Final presencial'!$T$6:$T$125,"Sí")/B63,""))</f>
        <v/>
      </c>
      <c r="G63" s="25" t="str">
        <f>IF(A63="","",IFERROR(SUMIFS('Final presencial'!$K$6:$K$125,'Final presencial'!$A$6:$A$125,A63,'Final presencial'!$T$6:$T$125,"Sí")/B63,""))</f>
        <v/>
      </c>
      <c r="H63" s="25" t="str">
        <f>IF(A63="","",IFERROR(SUMIFS('Final presencial'!$M$6:$M$125,'Final presencial'!$A$6:$A$125,A63,'Final presencial'!$T$6:$T$125,"Sí")/B63,""))</f>
        <v/>
      </c>
      <c r="I63" s="13" t="str">
        <f>IF(A63="","",IF(B63&gt;=Instrucciones!$B82,"Sí","Pendiente"))</f>
        <v/>
      </c>
      <c r="J63" s="13" t="str">
        <f t="shared" si="1"/>
        <v/>
      </c>
      <c r="K63" s="1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7"/>
      <c r="B64" s="13" t="str">
        <f>IF(A64="","",COUNTIFS('Final presencial'!$A$6:$A$125,A64,'Final presencial'!$T$6:$T$125,"Sí"))</f>
        <v/>
      </c>
      <c r="C64" s="25" t="str">
        <f>IF(A64="","",IFERROR(SUMIFS('Final presencial'!$O$6:$O$125,'Final presencial'!$A$6:$A$125,A64,'Final presencial'!$T$6:$T$125,"Sí")/B64,""))</f>
        <v/>
      </c>
      <c r="D64" s="25" t="str">
        <f>IF(A64="","",IFERROR(SUMIFS('Final presencial'!$E$6:$E$125,'Final presencial'!$A$6:$A$125,A64,'Final presencial'!$T$6:$T$125,"Sí")/B64,""))</f>
        <v/>
      </c>
      <c r="E64" s="25" t="str">
        <f>IF(A64="","",IFERROR(SUMIFS('Final presencial'!$G$6:$G$125,'Final presencial'!$A$6:$A$125,A64,'Final presencial'!$T$6:$T$125,"Sí")/B64,""))</f>
        <v/>
      </c>
      <c r="F64" s="25" t="str">
        <f>IF(A64="","",IFERROR(SUMIFS('Final presencial'!$I$6:$I$125,'Final presencial'!$A$6:$A$125,A64,'Final presencial'!$T$6:$T$125,"Sí")/B64,""))</f>
        <v/>
      </c>
      <c r="G64" s="25" t="str">
        <f>IF(A64="","",IFERROR(SUMIFS('Final presencial'!$K$6:$K$125,'Final presencial'!$A$6:$A$125,A64,'Final presencial'!$T$6:$T$125,"Sí")/B64,""))</f>
        <v/>
      </c>
      <c r="H64" s="25" t="str">
        <f>IF(A64="","",IFERROR(SUMIFS('Final presencial'!$M$6:$M$125,'Final presencial'!$A$6:$A$125,A64,'Final presencial'!$T$6:$T$125,"Sí")/B64,""))</f>
        <v/>
      </c>
      <c r="I64" s="13" t="str">
        <f>IF(A64="","",IF(B64&gt;=Instrucciones!$B83,"Sí","Pendiente"))</f>
        <v/>
      </c>
      <c r="J64" s="13" t="str">
        <f t="shared" si="1"/>
        <v/>
      </c>
      <c r="K64" s="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8"/>
      <c r="B65" s="14" t="str">
        <f>IF(A65="","",COUNTIFS('Final presencial'!$A$6:$A$125,A65,'Final presencial'!$T$6:$T$125,"Sí"))</f>
        <v/>
      </c>
      <c r="C65" s="26" t="str">
        <f>IF(A65="","",IFERROR(SUMIFS('Final presencial'!$O$6:$O$125,'Final presencial'!$A$6:$A$125,A65,'Final presencial'!$T$6:$T$125,"Sí")/B65,""))</f>
        <v/>
      </c>
      <c r="D65" s="26" t="str">
        <f>IF(A65="","",IFERROR(SUMIFS('Final presencial'!$E$6:$E$125,'Final presencial'!$A$6:$A$125,A65,'Final presencial'!$T$6:$T$125,"Sí")/B65,""))</f>
        <v/>
      </c>
      <c r="E65" s="26" t="str">
        <f>IF(A65="","",IFERROR(SUMIFS('Final presencial'!$G$6:$G$125,'Final presencial'!$A$6:$A$125,A65,'Final presencial'!$T$6:$T$125,"Sí")/B65,""))</f>
        <v/>
      </c>
      <c r="F65" s="26" t="str">
        <f>IF(A65="","",IFERROR(SUMIFS('Final presencial'!$I$6:$I$125,'Final presencial'!$A$6:$A$125,A65,'Final presencial'!$T$6:$T$125,"Sí")/B65,""))</f>
        <v/>
      </c>
      <c r="G65" s="26" t="str">
        <f>IF(A65="","",IFERROR(SUMIFS('Final presencial'!$K$6:$K$125,'Final presencial'!$A$6:$A$125,A65,'Final presencial'!$T$6:$T$125,"Sí")/B65,""))</f>
        <v/>
      </c>
      <c r="H65" s="26" t="str">
        <f>IF(A65="","",IFERROR(SUMIFS('Final presencial'!$M$6:$M$125,'Final presencial'!$A$6:$A$125,A65,'Final presencial'!$T$6:$T$125,"Sí")/B65,""))</f>
        <v/>
      </c>
      <c r="I65" s="14" t="str">
        <f>IF(A65="","",IF(B65&gt;=Instrucciones!$B84,"Sí","Pendiente"))</f>
        <v/>
      </c>
      <c r="J65" s="14" t="str">
        <f t="shared" si="1"/>
        <v/>
      </c>
      <c r="K65" s="1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3">
    <mergeCell ref="A1:K2"/>
    <mergeCell ref="A3:K3"/>
    <mergeCell ref="M1:O1"/>
  </mergeCells>
  <conditionalFormatting sqref="C6:C65">
    <cfRule type="colorScale" priority="1">
      <colorScale>
        <cfvo type="min"/>
        <cfvo type="percentile" val="50"/>
        <cfvo type="max"/>
        <color rgb="FFFDE2E2"/>
        <color rgb="FFFFF1C7"/>
        <color rgb="FFDDF3E7"/>
      </colorScale>
    </cfRule>
  </conditionalFormatting>
  <conditionalFormatting sqref="I6:I65">
    <cfRule type="expression" dxfId="1" priority="2">
      <formula>I6="Sí"</formula>
    </cfRule>
    <cfRule type="expression" dxfId="0" priority="3">
      <formula>I6="Pendiente"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00"/>
  <sheetViews>
    <sheetView workbookViewId="0">
      <selection sqref="A1:F2"/>
    </sheetView>
  </sheetViews>
  <sheetFormatPr baseColWidth="10" defaultColWidth="9" defaultRowHeight="13.5"/>
  <cols>
    <col min="1" max="1" width="12" customWidth="1"/>
    <col min="2" max="2" width="31" customWidth="1"/>
    <col min="3" max="3" width="10" customWidth="1"/>
    <col min="4" max="6" width="38" customWidth="1"/>
  </cols>
  <sheetData>
    <row r="1" spans="1:22">
      <c r="A1" s="37" t="s">
        <v>121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37"/>
      <c r="B2" s="37"/>
      <c r="C2" s="37"/>
      <c r="D2" s="37"/>
      <c r="E2" s="37"/>
      <c r="F2" s="3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28" t="s">
        <v>122</v>
      </c>
      <c r="B4" s="28" t="s">
        <v>62</v>
      </c>
      <c r="C4" s="28" t="s">
        <v>63</v>
      </c>
      <c r="D4" s="28" t="s">
        <v>20</v>
      </c>
      <c r="E4" s="28" t="s">
        <v>23</v>
      </c>
      <c r="F4" s="28" t="s">
        <v>123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4.9">
      <c r="A5" s="10" t="s">
        <v>124</v>
      </c>
      <c r="B5" s="10" t="s">
        <v>125</v>
      </c>
      <c r="C5" s="10">
        <v>15</v>
      </c>
      <c r="D5" s="10" t="s">
        <v>126</v>
      </c>
      <c r="E5" s="10" t="s">
        <v>127</v>
      </c>
      <c r="F5" s="10" t="s">
        <v>128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3.25">
      <c r="A6" s="10" t="s">
        <v>124</v>
      </c>
      <c r="B6" s="10" t="s">
        <v>98</v>
      </c>
      <c r="C6" s="10">
        <v>25</v>
      </c>
      <c r="D6" s="10" t="s">
        <v>129</v>
      </c>
      <c r="E6" s="10" t="s">
        <v>130</v>
      </c>
      <c r="F6" s="10" t="s">
        <v>131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3.25">
      <c r="A7" s="10" t="s">
        <v>124</v>
      </c>
      <c r="B7" s="10" t="s">
        <v>110</v>
      </c>
      <c r="C7" s="10">
        <v>25</v>
      </c>
      <c r="D7" s="10" t="s">
        <v>132</v>
      </c>
      <c r="E7" s="10" t="s">
        <v>133</v>
      </c>
      <c r="F7" s="10" t="s">
        <v>134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3.25">
      <c r="A8" s="10" t="s">
        <v>124</v>
      </c>
      <c r="B8" s="10" t="s">
        <v>135</v>
      </c>
      <c r="C8" s="10">
        <v>20</v>
      </c>
      <c r="D8" s="10" t="s">
        <v>136</v>
      </c>
      <c r="E8" s="10" t="s">
        <v>137</v>
      </c>
      <c r="F8" s="10" t="s">
        <v>138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3.25">
      <c r="A9" s="10" t="s">
        <v>124</v>
      </c>
      <c r="B9" s="10" t="s">
        <v>139</v>
      </c>
      <c r="C9" s="10">
        <v>15</v>
      </c>
      <c r="D9" s="10" t="s">
        <v>140</v>
      </c>
      <c r="E9" s="10" t="s">
        <v>141</v>
      </c>
      <c r="F9" s="10" t="s">
        <v>142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3.25">
      <c r="A10" s="10" t="s">
        <v>143</v>
      </c>
      <c r="B10" s="10" t="s">
        <v>116</v>
      </c>
      <c r="C10" s="10">
        <v>25</v>
      </c>
      <c r="D10" s="10" t="s">
        <v>144</v>
      </c>
      <c r="E10" s="10" t="s">
        <v>145</v>
      </c>
      <c r="F10" s="10" t="s">
        <v>146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4.9">
      <c r="A11" s="10" t="s">
        <v>143</v>
      </c>
      <c r="B11" s="10" t="s">
        <v>147</v>
      </c>
      <c r="C11" s="10">
        <v>25</v>
      </c>
      <c r="D11" s="10" t="s">
        <v>148</v>
      </c>
      <c r="E11" s="10" t="s">
        <v>149</v>
      </c>
      <c r="F11" s="10" t="s">
        <v>150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3.25">
      <c r="A12" s="10" t="s">
        <v>143</v>
      </c>
      <c r="B12" s="10" t="s">
        <v>118</v>
      </c>
      <c r="C12" s="10">
        <v>20</v>
      </c>
      <c r="D12" s="10" t="s">
        <v>151</v>
      </c>
      <c r="E12" s="10" t="s">
        <v>152</v>
      </c>
      <c r="F12" s="10" t="s">
        <v>153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4.9">
      <c r="A13" s="10" t="s">
        <v>143</v>
      </c>
      <c r="B13" s="10" t="s">
        <v>154</v>
      </c>
      <c r="C13" s="10">
        <v>20</v>
      </c>
      <c r="D13" s="10" t="s">
        <v>155</v>
      </c>
      <c r="E13" s="10" t="s">
        <v>156</v>
      </c>
      <c r="F13" s="10" t="s">
        <v>157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4.9">
      <c r="A14" s="27" t="s">
        <v>143</v>
      </c>
      <c r="B14" s="27" t="s">
        <v>158</v>
      </c>
      <c r="C14" s="27">
        <v>10</v>
      </c>
      <c r="D14" s="27" t="s">
        <v>159</v>
      </c>
      <c r="E14" s="27" t="s">
        <v>160</v>
      </c>
      <c r="F14" s="27" t="s">
        <v>161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Evaluación escrita</vt:lpstr>
      <vt:lpstr>Final presencial</vt:lpstr>
      <vt:lpstr>Consolidado escrita</vt:lpstr>
      <vt:lpstr>Consolidado final</vt:lpstr>
      <vt:lpstr>Descriptores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Méndez Atienza</cp:lastModifiedBy>
  <dcterms:modified xsi:type="dcterms:W3CDTF">2026-08-04T22:39:57Z</dcterms:modified>
</cp:coreProperties>
</file>